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s\OneDrive\Desktop\NII4\"/>
    </mc:Choice>
  </mc:AlternateContent>
  <xr:revisionPtr revIDLastSave="0" documentId="13_ncr:1_{7B35A53C-1F03-4F72-A870-77669CA58D1A}" xr6:coauthVersionLast="47" xr6:coauthVersionMax="47" xr10:uidLastSave="{00000000-0000-0000-0000-000000000000}"/>
  <bookViews>
    <workbookView xWindow="-120" yWindow="-120" windowWidth="29040" windowHeight="15720" xr2:uid="{8B1727CC-D2EC-426F-A0EC-3C5E0872D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84" i="1" l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I4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E927" i="1" l="1"/>
  <c r="E959" i="1"/>
  <c r="E991" i="1"/>
  <c r="E1007" i="1"/>
  <c r="E1023" i="1"/>
  <c r="E911" i="1"/>
  <c r="E943" i="1"/>
  <c r="E975" i="1"/>
  <c r="E1024" i="1"/>
  <c r="E945" i="1"/>
  <c r="E977" i="1"/>
  <c r="E1025" i="1"/>
  <c r="E895" i="1"/>
  <c r="E929" i="1"/>
  <c r="E961" i="1"/>
  <c r="E993" i="1"/>
  <c r="E897" i="1"/>
  <c r="E913" i="1"/>
  <c r="E1009" i="1"/>
  <c r="E907" i="1"/>
  <c r="E923" i="1"/>
  <c r="E939" i="1"/>
  <c r="E955" i="1"/>
  <c r="E971" i="1"/>
  <c r="E987" i="1"/>
  <c r="E1003" i="1"/>
  <c r="E1019" i="1"/>
  <c r="E894" i="1"/>
  <c r="E910" i="1"/>
  <c r="E926" i="1"/>
  <c r="E942" i="1"/>
  <c r="E958" i="1"/>
  <c r="E974" i="1"/>
  <c r="E990" i="1"/>
  <c r="E1006" i="1"/>
  <c r="E1022" i="1"/>
  <c r="E1030" i="1"/>
  <c r="E919" i="1"/>
  <c r="E967" i="1"/>
  <c r="E999" i="1"/>
  <c r="E1031" i="1"/>
  <c r="E903" i="1"/>
  <c r="E935" i="1"/>
  <c r="E951" i="1"/>
  <c r="E983" i="1"/>
  <c r="E1015" i="1"/>
  <c r="E906" i="1"/>
  <c r="E922" i="1"/>
  <c r="E938" i="1"/>
  <c r="E954" i="1"/>
  <c r="E970" i="1"/>
  <c r="E986" i="1"/>
  <c r="E1002" i="1"/>
  <c r="E1018" i="1"/>
  <c r="E904" i="1"/>
  <c r="E952" i="1"/>
  <c r="E968" i="1"/>
  <c r="E1016" i="1"/>
  <c r="E905" i="1"/>
  <c r="E921" i="1"/>
  <c r="E937" i="1"/>
  <c r="E953" i="1"/>
  <c r="E969" i="1"/>
  <c r="E985" i="1"/>
  <c r="E1001" i="1"/>
  <c r="E1017" i="1"/>
  <c r="E1033" i="1"/>
  <c r="E1034" i="1"/>
  <c r="E936" i="1"/>
  <c r="E1000" i="1"/>
  <c r="E889" i="1"/>
  <c r="E1036" i="1"/>
  <c r="E920" i="1"/>
  <c r="E984" i="1"/>
  <c r="E1032" i="1"/>
  <c r="E1035" i="1"/>
  <c r="E1037" i="1"/>
  <c r="E898" i="1"/>
  <c r="E914" i="1"/>
  <c r="E930" i="1"/>
  <c r="E946" i="1"/>
  <c r="E962" i="1"/>
  <c r="E978" i="1"/>
  <c r="E994" i="1"/>
  <c r="E1010" i="1"/>
  <c r="E1026" i="1"/>
  <c r="E1027" i="1"/>
  <c r="E1028" i="1"/>
  <c r="E890" i="1"/>
  <c r="E901" i="1"/>
  <c r="E917" i="1"/>
  <c r="E933" i="1"/>
  <c r="E949" i="1"/>
  <c r="E965" i="1"/>
  <c r="E981" i="1"/>
  <c r="E997" i="1"/>
  <c r="E1013" i="1"/>
  <c r="E1029" i="1"/>
  <c r="E891" i="1"/>
  <c r="E908" i="1"/>
  <c r="E956" i="1"/>
  <c r="E1004" i="1"/>
  <c r="E909" i="1"/>
  <c r="E941" i="1"/>
  <c r="E973" i="1"/>
  <c r="E989" i="1"/>
  <c r="E1021" i="1"/>
  <c r="E924" i="1"/>
  <c r="E1020" i="1"/>
  <c r="E893" i="1"/>
  <c r="E925" i="1"/>
  <c r="E957" i="1"/>
  <c r="E1005" i="1"/>
  <c r="E892" i="1"/>
  <c r="E940" i="1"/>
  <c r="E988" i="1"/>
  <c r="E896" i="1"/>
  <c r="E912" i="1"/>
  <c r="E944" i="1"/>
  <c r="E960" i="1"/>
  <c r="E976" i="1"/>
  <c r="E1008" i="1"/>
  <c r="E972" i="1"/>
  <c r="E928" i="1"/>
  <c r="E992" i="1"/>
  <c r="E963" i="1"/>
  <c r="E900" i="1"/>
  <c r="E916" i="1"/>
  <c r="E932" i="1"/>
  <c r="E948" i="1"/>
  <c r="E964" i="1"/>
  <c r="E980" i="1"/>
  <c r="E996" i="1"/>
  <c r="E1012" i="1"/>
  <c r="E885" i="1"/>
  <c r="E947" i="1"/>
  <c r="E931" i="1"/>
  <c r="E979" i="1"/>
  <c r="E902" i="1"/>
  <c r="E966" i="1"/>
  <c r="E1014" i="1"/>
  <c r="E887" i="1"/>
  <c r="E899" i="1"/>
  <c r="E1011" i="1"/>
  <c r="E918" i="1"/>
  <c r="E950" i="1"/>
  <c r="E998" i="1"/>
  <c r="E888" i="1"/>
  <c r="E915" i="1"/>
  <c r="E995" i="1"/>
  <c r="E886" i="1"/>
  <c r="E934" i="1"/>
  <c r="E982" i="1"/>
</calcChain>
</file>

<file path=xl/sharedStrings.xml><?xml version="1.0" encoding="utf-8"?>
<sst xmlns="http://schemas.openxmlformats.org/spreadsheetml/2006/main" count="3" uniqueCount="3">
  <si>
    <t>Day</t>
  </si>
  <si>
    <t>DeepSeek: (Worldwide)</t>
  </si>
  <si>
    <t>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</si>
</sst>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5268-4D61-484D-9D92-04DB68BFE6A6}">
  <dimension ref="A1:R1037"/>
  <sheetViews>
    <sheetView tabSelected="1" topLeftCell="A645" workbookViewId="0">
      <selection activeCell="B669" sqref="B669"/>
    </sheetView>
  </sheetViews>
  <sheetFormatPr defaultRowHeight="15" x14ac:dyDescent="0.25"/>
  <cols>
    <col min="1" max="1" width="16.28515625" style="3" customWidth="1"/>
    <col min="5" max="5" width="16.5703125" customWidth="1"/>
    <col min="9" max="9" width="10.42578125" bestFit="1" customWidth="1"/>
    <col min="12" max="12" width="18.5703125" style="3" customWidth="1"/>
  </cols>
  <sheetData>
    <row r="1" spans="1:11" x14ac:dyDescent="0.25">
      <c r="A1" s="3" t="s">
        <v>0</v>
      </c>
      <c r="B1" t="s">
        <v>1</v>
      </c>
      <c r="E1" t="s">
        <v>2</v>
      </c>
      <c r="K1" s="2"/>
    </row>
    <row r="2" spans="1:11" x14ac:dyDescent="0.25">
      <c r="A2" s="3">
        <v>44953</v>
      </c>
      <c r="B2">
        <v>0</v>
      </c>
      <c r="E2">
        <f t="shared" ref="E2:E65" si="0">0*(20/7)</f>
        <v>0</v>
      </c>
    </row>
    <row r="3" spans="1:11" x14ac:dyDescent="0.25">
      <c r="A3" s="3">
        <v>44954</v>
      </c>
      <c r="B3">
        <v>0</v>
      </c>
      <c r="E3">
        <f t="shared" si="0"/>
        <v>0</v>
      </c>
    </row>
    <row r="4" spans="1:11" x14ac:dyDescent="0.25">
      <c r="A4" s="3">
        <v>44955</v>
      </c>
      <c r="B4">
        <v>0</v>
      </c>
      <c r="E4">
        <f t="shared" si="0"/>
        <v>0</v>
      </c>
      <c r="I4">
        <f>20/7</f>
        <v>2.8571428571428572</v>
      </c>
    </row>
    <row r="5" spans="1:11" x14ac:dyDescent="0.25">
      <c r="A5" s="3">
        <v>44956</v>
      </c>
      <c r="B5">
        <v>0</v>
      </c>
      <c r="E5">
        <f t="shared" si="0"/>
        <v>0</v>
      </c>
    </row>
    <row r="6" spans="1:11" x14ac:dyDescent="0.25">
      <c r="A6" s="3">
        <v>44957</v>
      </c>
      <c r="B6">
        <v>0</v>
      </c>
      <c r="E6">
        <f t="shared" si="0"/>
        <v>0</v>
      </c>
    </row>
    <row r="7" spans="1:11" x14ac:dyDescent="0.25">
      <c r="A7" s="3">
        <v>44958</v>
      </c>
      <c r="B7">
        <v>0</v>
      </c>
      <c r="E7">
        <f t="shared" si="0"/>
        <v>0</v>
      </c>
      <c r="I7" s="1"/>
    </row>
    <row r="8" spans="1:11" x14ac:dyDescent="0.25">
      <c r="A8" s="3">
        <v>44959</v>
      </c>
      <c r="B8">
        <v>0</v>
      </c>
      <c r="E8">
        <f t="shared" si="0"/>
        <v>0</v>
      </c>
    </row>
    <row r="9" spans="1:11" x14ac:dyDescent="0.25">
      <c r="A9" s="3">
        <v>44960</v>
      </c>
      <c r="B9">
        <v>0</v>
      </c>
      <c r="E9">
        <f t="shared" si="0"/>
        <v>0</v>
      </c>
    </row>
    <row r="10" spans="1:11" x14ac:dyDescent="0.25">
      <c r="A10" s="3">
        <v>44961</v>
      </c>
      <c r="B10">
        <v>0</v>
      </c>
      <c r="E10">
        <f t="shared" si="0"/>
        <v>0</v>
      </c>
    </row>
    <row r="11" spans="1:11" x14ac:dyDescent="0.25">
      <c r="A11" s="3">
        <v>44962</v>
      </c>
      <c r="B11">
        <v>0</v>
      </c>
      <c r="E11">
        <f t="shared" si="0"/>
        <v>0</v>
      </c>
    </row>
    <row r="12" spans="1:11" x14ac:dyDescent="0.25">
      <c r="A12" s="3">
        <v>44963</v>
      </c>
      <c r="B12">
        <v>0</v>
      </c>
      <c r="E12">
        <f t="shared" si="0"/>
        <v>0</v>
      </c>
    </row>
    <row r="13" spans="1:11" x14ac:dyDescent="0.25">
      <c r="A13" s="3">
        <v>44964</v>
      </c>
      <c r="B13">
        <v>0</v>
      </c>
      <c r="E13">
        <f t="shared" si="0"/>
        <v>0</v>
      </c>
    </row>
    <row r="14" spans="1:11" x14ac:dyDescent="0.25">
      <c r="A14" s="3">
        <v>44965</v>
      </c>
      <c r="B14">
        <v>0</v>
      </c>
      <c r="E14">
        <f t="shared" si="0"/>
        <v>0</v>
      </c>
    </row>
    <row r="15" spans="1:11" x14ac:dyDescent="0.25">
      <c r="A15" s="3">
        <v>44966</v>
      </c>
      <c r="B15">
        <v>0</v>
      </c>
      <c r="E15">
        <f t="shared" si="0"/>
        <v>0</v>
      </c>
    </row>
    <row r="16" spans="1:11" x14ac:dyDescent="0.25">
      <c r="A16" s="3">
        <v>44967</v>
      </c>
      <c r="B16">
        <v>0</v>
      </c>
      <c r="E16">
        <f t="shared" si="0"/>
        <v>0</v>
      </c>
    </row>
    <row r="17" spans="1:5" x14ac:dyDescent="0.25">
      <c r="A17" s="3">
        <v>44968</v>
      </c>
      <c r="B17">
        <v>0</v>
      </c>
      <c r="E17">
        <f t="shared" si="0"/>
        <v>0</v>
      </c>
    </row>
    <row r="18" spans="1:5" x14ac:dyDescent="0.25">
      <c r="A18" s="3">
        <v>44969</v>
      </c>
      <c r="B18">
        <v>0</v>
      </c>
      <c r="E18">
        <f t="shared" si="0"/>
        <v>0</v>
      </c>
    </row>
    <row r="19" spans="1:5" x14ac:dyDescent="0.25">
      <c r="A19" s="3">
        <v>44970</v>
      </c>
      <c r="B19">
        <v>0</v>
      </c>
      <c r="E19">
        <f t="shared" si="0"/>
        <v>0</v>
      </c>
    </row>
    <row r="20" spans="1:5" x14ac:dyDescent="0.25">
      <c r="A20" s="3">
        <v>44971</v>
      </c>
      <c r="B20">
        <v>0</v>
      </c>
      <c r="E20">
        <f t="shared" si="0"/>
        <v>0</v>
      </c>
    </row>
    <row r="21" spans="1:5" x14ac:dyDescent="0.25">
      <c r="A21" s="3">
        <v>44972</v>
      </c>
      <c r="B21">
        <v>0</v>
      </c>
      <c r="E21">
        <f t="shared" si="0"/>
        <v>0</v>
      </c>
    </row>
    <row r="22" spans="1:5" x14ac:dyDescent="0.25">
      <c r="A22" s="3">
        <v>44973</v>
      </c>
      <c r="B22">
        <v>0</v>
      </c>
      <c r="E22">
        <f t="shared" si="0"/>
        <v>0</v>
      </c>
    </row>
    <row r="23" spans="1:5" x14ac:dyDescent="0.25">
      <c r="A23" s="3">
        <v>44974</v>
      </c>
      <c r="B23">
        <v>0</v>
      </c>
      <c r="E23">
        <f t="shared" si="0"/>
        <v>0</v>
      </c>
    </row>
    <row r="24" spans="1:5" x14ac:dyDescent="0.25">
      <c r="A24" s="3">
        <v>44975</v>
      </c>
      <c r="B24">
        <v>0</v>
      </c>
      <c r="E24">
        <f t="shared" si="0"/>
        <v>0</v>
      </c>
    </row>
    <row r="25" spans="1:5" x14ac:dyDescent="0.25">
      <c r="A25" s="3">
        <v>44976</v>
      </c>
      <c r="B25">
        <v>0</v>
      </c>
      <c r="E25">
        <f t="shared" si="0"/>
        <v>0</v>
      </c>
    </row>
    <row r="26" spans="1:5" x14ac:dyDescent="0.25">
      <c r="A26" s="3">
        <v>44977</v>
      </c>
      <c r="B26">
        <v>0</v>
      </c>
      <c r="E26">
        <f t="shared" si="0"/>
        <v>0</v>
      </c>
    </row>
    <row r="27" spans="1:5" x14ac:dyDescent="0.25">
      <c r="A27" s="3">
        <v>44978</v>
      </c>
      <c r="B27">
        <v>0</v>
      </c>
      <c r="E27">
        <f t="shared" si="0"/>
        <v>0</v>
      </c>
    </row>
    <row r="28" spans="1:5" x14ac:dyDescent="0.25">
      <c r="A28" s="3">
        <v>44979</v>
      </c>
      <c r="B28">
        <v>0</v>
      </c>
      <c r="E28">
        <f t="shared" si="0"/>
        <v>0</v>
      </c>
    </row>
    <row r="29" spans="1:5" x14ac:dyDescent="0.25">
      <c r="A29" s="3">
        <v>44980</v>
      </c>
      <c r="B29">
        <v>0</v>
      </c>
      <c r="E29">
        <f t="shared" si="0"/>
        <v>0</v>
      </c>
    </row>
    <row r="30" spans="1:5" x14ac:dyDescent="0.25">
      <c r="A30" s="3">
        <v>44981</v>
      </c>
      <c r="B30">
        <v>0</v>
      </c>
      <c r="E30">
        <f t="shared" si="0"/>
        <v>0</v>
      </c>
    </row>
    <row r="31" spans="1:5" x14ac:dyDescent="0.25">
      <c r="A31" s="3">
        <v>44982</v>
      </c>
      <c r="B31">
        <v>0</v>
      </c>
      <c r="E31">
        <f t="shared" si="0"/>
        <v>0</v>
      </c>
    </row>
    <row r="32" spans="1:5" x14ac:dyDescent="0.25">
      <c r="A32" s="3">
        <v>44983</v>
      </c>
      <c r="B32">
        <v>0</v>
      </c>
      <c r="E32">
        <f t="shared" si="0"/>
        <v>0</v>
      </c>
    </row>
    <row r="33" spans="1:5" x14ac:dyDescent="0.25">
      <c r="A33" s="3">
        <v>44984</v>
      </c>
      <c r="B33">
        <v>0</v>
      </c>
      <c r="E33">
        <f t="shared" si="0"/>
        <v>0</v>
      </c>
    </row>
    <row r="34" spans="1:5" x14ac:dyDescent="0.25">
      <c r="A34" s="3">
        <v>44985</v>
      </c>
      <c r="B34">
        <v>0</v>
      </c>
      <c r="E34">
        <f t="shared" si="0"/>
        <v>0</v>
      </c>
    </row>
    <row r="35" spans="1:5" x14ac:dyDescent="0.25">
      <c r="A35" s="3">
        <v>44986</v>
      </c>
      <c r="B35">
        <v>0</v>
      </c>
      <c r="E35">
        <f t="shared" si="0"/>
        <v>0</v>
      </c>
    </row>
    <row r="36" spans="1:5" x14ac:dyDescent="0.25">
      <c r="A36" s="3">
        <v>44987</v>
      </c>
      <c r="B36">
        <v>0</v>
      </c>
      <c r="E36">
        <f t="shared" si="0"/>
        <v>0</v>
      </c>
    </row>
    <row r="37" spans="1:5" x14ac:dyDescent="0.25">
      <c r="A37" s="3">
        <v>44988</v>
      </c>
      <c r="B37">
        <v>0</v>
      </c>
      <c r="E37">
        <f t="shared" si="0"/>
        <v>0</v>
      </c>
    </row>
    <row r="38" spans="1:5" x14ac:dyDescent="0.25">
      <c r="A38" s="3">
        <v>44989</v>
      </c>
      <c r="B38">
        <v>0</v>
      </c>
      <c r="E38">
        <f t="shared" si="0"/>
        <v>0</v>
      </c>
    </row>
    <row r="39" spans="1:5" x14ac:dyDescent="0.25">
      <c r="A39" s="3">
        <v>44990</v>
      </c>
      <c r="B39">
        <v>0</v>
      </c>
      <c r="E39">
        <f t="shared" si="0"/>
        <v>0</v>
      </c>
    </row>
    <row r="40" spans="1:5" x14ac:dyDescent="0.25">
      <c r="A40" s="3">
        <v>44991</v>
      </c>
      <c r="B40">
        <v>0</v>
      </c>
      <c r="E40">
        <f t="shared" si="0"/>
        <v>0</v>
      </c>
    </row>
    <row r="41" spans="1:5" x14ac:dyDescent="0.25">
      <c r="A41" s="3">
        <v>44992</v>
      </c>
      <c r="B41">
        <v>0</v>
      </c>
      <c r="E41">
        <f t="shared" si="0"/>
        <v>0</v>
      </c>
    </row>
    <row r="42" spans="1:5" x14ac:dyDescent="0.25">
      <c r="A42" s="3">
        <v>44993</v>
      </c>
      <c r="B42">
        <v>0</v>
      </c>
      <c r="E42">
        <f t="shared" si="0"/>
        <v>0</v>
      </c>
    </row>
    <row r="43" spans="1:5" x14ac:dyDescent="0.25">
      <c r="A43" s="3">
        <v>44994</v>
      </c>
      <c r="B43">
        <v>0</v>
      </c>
      <c r="E43">
        <f t="shared" si="0"/>
        <v>0</v>
      </c>
    </row>
    <row r="44" spans="1:5" x14ac:dyDescent="0.25">
      <c r="A44" s="3">
        <v>44995</v>
      </c>
      <c r="B44">
        <v>0</v>
      </c>
      <c r="E44">
        <f t="shared" si="0"/>
        <v>0</v>
      </c>
    </row>
    <row r="45" spans="1:5" x14ac:dyDescent="0.25">
      <c r="A45" s="3">
        <v>44996</v>
      </c>
      <c r="B45">
        <v>0</v>
      </c>
      <c r="E45">
        <f t="shared" si="0"/>
        <v>0</v>
      </c>
    </row>
    <row r="46" spans="1:5" x14ac:dyDescent="0.25">
      <c r="A46" s="3">
        <v>44997</v>
      </c>
      <c r="B46">
        <v>0</v>
      </c>
      <c r="E46">
        <f t="shared" si="0"/>
        <v>0</v>
      </c>
    </row>
    <row r="47" spans="1:5" x14ac:dyDescent="0.25">
      <c r="A47" s="3">
        <v>44998</v>
      </c>
      <c r="B47">
        <v>0</v>
      </c>
      <c r="E47">
        <f t="shared" si="0"/>
        <v>0</v>
      </c>
    </row>
    <row r="48" spans="1:5" x14ac:dyDescent="0.25">
      <c r="A48" s="3">
        <v>44999</v>
      </c>
      <c r="B48">
        <v>0</v>
      </c>
      <c r="E48">
        <f t="shared" si="0"/>
        <v>0</v>
      </c>
    </row>
    <row r="49" spans="1:5" x14ac:dyDescent="0.25">
      <c r="A49" s="3">
        <v>45000</v>
      </c>
      <c r="B49">
        <v>0</v>
      </c>
      <c r="E49">
        <f t="shared" si="0"/>
        <v>0</v>
      </c>
    </row>
    <row r="50" spans="1:5" x14ac:dyDescent="0.25">
      <c r="A50" s="3">
        <v>45001</v>
      </c>
      <c r="B50">
        <v>0</v>
      </c>
      <c r="E50">
        <f t="shared" si="0"/>
        <v>0</v>
      </c>
    </row>
    <row r="51" spans="1:5" x14ac:dyDescent="0.25">
      <c r="A51" s="3">
        <v>45002</v>
      </c>
      <c r="B51">
        <v>0</v>
      </c>
      <c r="E51">
        <f t="shared" si="0"/>
        <v>0</v>
      </c>
    </row>
    <row r="52" spans="1:5" x14ac:dyDescent="0.25">
      <c r="A52" s="3">
        <v>45003</v>
      </c>
      <c r="B52">
        <v>0</v>
      </c>
      <c r="E52">
        <f t="shared" si="0"/>
        <v>0</v>
      </c>
    </row>
    <row r="53" spans="1:5" x14ac:dyDescent="0.25">
      <c r="A53" s="3">
        <v>45004</v>
      </c>
      <c r="B53">
        <v>0</v>
      </c>
      <c r="E53">
        <f t="shared" si="0"/>
        <v>0</v>
      </c>
    </row>
    <row r="54" spans="1:5" x14ac:dyDescent="0.25">
      <c r="A54" s="3">
        <v>45005</v>
      </c>
      <c r="B54">
        <v>0</v>
      </c>
      <c r="E54">
        <f t="shared" si="0"/>
        <v>0</v>
      </c>
    </row>
    <row r="55" spans="1:5" x14ac:dyDescent="0.25">
      <c r="A55" s="3">
        <v>45006</v>
      </c>
      <c r="B55">
        <v>0</v>
      </c>
      <c r="E55">
        <f t="shared" si="0"/>
        <v>0</v>
      </c>
    </row>
    <row r="56" spans="1:5" x14ac:dyDescent="0.25">
      <c r="A56" s="3">
        <v>45007</v>
      </c>
      <c r="B56">
        <v>0</v>
      </c>
      <c r="E56">
        <f t="shared" si="0"/>
        <v>0</v>
      </c>
    </row>
    <row r="57" spans="1:5" x14ac:dyDescent="0.25">
      <c r="A57" s="3">
        <v>45008</v>
      </c>
      <c r="B57">
        <v>0</v>
      </c>
      <c r="E57">
        <f t="shared" si="0"/>
        <v>0</v>
      </c>
    </row>
    <row r="58" spans="1:5" x14ac:dyDescent="0.25">
      <c r="A58" s="3">
        <v>45009</v>
      </c>
      <c r="B58">
        <v>0</v>
      </c>
      <c r="E58">
        <f t="shared" si="0"/>
        <v>0</v>
      </c>
    </row>
    <row r="59" spans="1:5" x14ac:dyDescent="0.25">
      <c r="A59" s="3">
        <v>45010</v>
      </c>
      <c r="B59">
        <v>0</v>
      </c>
      <c r="E59">
        <f t="shared" si="0"/>
        <v>0</v>
      </c>
    </row>
    <row r="60" spans="1:5" x14ac:dyDescent="0.25">
      <c r="A60" s="3">
        <v>45011</v>
      </c>
      <c r="B60">
        <v>0</v>
      </c>
      <c r="E60">
        <f t="shared" si="0"/>
        <v>0</v>
      </c>
    </row>
    <row r="61" spans="1:5" x14ac:dyDescent="0.25">
      <c r="A61" s="3">
        <v>45012</v>
      </c>
      <c r="B61">
        <v>0</v>
      </c>
      <c r="E61">
        <f t="shared" si="0"/>
        <v>0</v>
      </c>
    </row>
    <row r="62" spans="1:5" x14ac:dyDescent="0.25">
      <c r="A62" s="3">
        <v>45013</v>
      </c>
      <c r="B62">
        <v>0</v>
      </c>
      <c r="E62">
        <f t="shared" si="0"/>
        <v>0</v>
      </c>
    </row>
    <row r="63" spans="1:5" x14ac:dyDescent="0.25">
      <c r="A63" s="3">
        <v>45014</v>
      </c>
      <c r="B63">
        <v>0</v>
      </c>
      <c r="E63">
        <f t="shared" si="0"/>
        <v>0</v>
      </c>
    </row>
    <row r="64" spans="1:5" x14ac:dyDescent="0.25">
      <c r="A64" s="3">
        <v>45015</v>
      </c>
      <c r="B64">
        <v>0</v>
      </c>
      <c r="E64">
        <f t="shared" si="0"/>
        <v>0</v>
      </c>
    </row>
    <row r="65" spans="1:5" x14ac:dyDescent="0.25">
      <c r="A65" s="3">
        <v>45016</v>
      </c>
      <c r="B65">
        <v>0</v>
      </c>
      <c r="E65">
        <f t="shared" si="0"/>
        <v>0</v>
      </c>
    </row>
    <row r="66" spans="1:5" x14ac:dyDescent="0.25">
      <c r="A66" s="3">
        <v>45017</v>
      </c>
      <c r="B66">
        <v>0</v>
      </c>
      <c r="E66">
        <f t="shared" ref="E66:E129" si="1">0*(20/7)</f>
        <v>0</v>
      </c>
    </row>
    <row r="67" spans="1:5" x14ac:dyDescent="0.25">
      <c r="A67" s="3">
        <v>45018</v>
      </c>
      <c r="B67">
        <v>0</v>
      </c>
      <c r="E67">
        <f t="shared" si="1"/>
        <v>0</v>
      </c>
    </row>
    <row r="68" spans="1:5" x14ac:dyDescent="0.25">
      <c r="A68" s="3">
        <v>45019</v>
      </c>
      <c r="B68">
        <v>0</v>
      </c>
      <c r="E68">
        <f t="shared" si="1"/>
        <v>0</v>
      </c>
    </row>
    <row r="69" spans="1:5" x14ac:dyDescent="0.25">
      <c r="A69" s="3">
        <v>45020</v>
      </c>
      <c r="B69">
        <v>0</v>
      </c>
      <c r="E69">
        <f t="shared" si="1"/>
        <v>0</v>
      </c>
    </row>
    <row r="70" spans="1:5" x14ac:dyDescent="0.25">
      <c r="A70" s="3">
        <v>45021</v>
      </c>
      <c r="B70">
        <v>0</v>
      </c>
      <c r="E70">
        <f t="shared" si="1"/>
        <v>0</v>
      </c>
    </row>
    <row r="71" spans="1:5" x14ac:dyDescent="0.25">
      <c r="A71" s="3">
        <v>45022</v>
      </c>
      <c r="B71">
        <v>0</v>
      </c>
      <c r="E71">
        <f t="shared" si="1"/>
        <v>0</v>
      </c>
    </row>
    <row r="72" spans="1:5" x14ac:dyDescent="0.25">
      <c r="A72" s="3">
        <v>45023</v>
      </c>
      <c r="B72">
        <v>0</v>
      </c>
      <c r="E72">
        <f t="shared" si="1"/>
        <v>0</v>
      </c>
    </row>
    <row r="73" spans="1:5" x14ac:dyDescent="0.25">
      <c r="A73" s="3">
        <v>45024</v>
      </c>
      <c r="B73">
        <v>0</v>
      </c>
      <c r="E73">
        <f t="shared" si="1"/>
        <v>0</v>
      </c>
    </row>
    <row r="74" spans="1:5" x14ac:dyDescent="0.25">
      <c r="A74" s="3">
        <v>45025</v>
      </c>
      <c r="B74">
        <v>0</v>
      </c>
      <c r="E74">
        <f t="shared" si="1"/>
        <v>0</v>
      </c>
    </row>
    <row r="75" spans="1:5" x14ac:dyDescent="0.25">
      <c r="A75" s="3">
        <v>45026</v>
      </c>
      <c r="B75">
        <v>0</v>
      </c>
      <c r="E75">
        <f t="shared" si="1"/>
        <v>0</v>
      </c>
    </row>
    <row r="76" spans="1:5" x14ac:dyDescent="0.25">
      <c r="A76" s="3">
        <v>45027</v>
      </c>
      <c r="B76">
        <v>0</v>
      </c>
      <c r="E76">
        <f t="shared" si="1"/>
        <v>0</v>
      </c>
    </row>
    <row r="77" spans="1:5" x14ac:dyDescent="0.25">
      <c r="A77" s="3">
        <v>45028</v>
      </c>
      <c r="B77">
        <v>0</v>
      </c>
      <c r="E77">
        <f t="shared" si="1"/>
        <v>0</v>
      </c>
    </row>
    <row r="78" spans="1:5" x14ac:dyDescent="0.25">
      <c r="A78" s="3">
        <v>45029</v>
      </c>
      <c r="B78">
        <v>0</v>
      </c>
      <c r="E78">
        <f t="shared" si="1"/>
        <v>0</v>
      </c>
    </row>
    <row r="79" spans="1:5" x14ac:dyDescent="0.25">
      <c r="A79" s="3">
        <v>45030</v>
      </c>
      <c r="B79">
        <v>0</v>
      </c>
      <c r="E79">
        <f t="shared" si="1"/>
        <v>0</v>
      </c>
    </row>
    <row r="80" spans="1:5" x14ac:dyDescent="0.25">
      <c r="A80" s="3">
        <v>45031</v>
      </c>
      <c r="B80">
        <v>0</v>
      </c>
      <c r="E80">
        <f t="shared" si="1"/>
        <v>0</v>
      </c>
    </row>
    <row r="81" spans="1:5" x14ac:dyDescent="0.25">
      <c r="A81" s="3">
        <v>45032</v>
      </c>
      <c r="B81">
        <v>0</v>
      </c>
      <c r="E81">
        <f t="shared" si="1"/>
        <v>0</v>
      </c>
    </row>
    <row r="82" spans="1:5" x14ac:dyDescent="0.25">
      <c r="A82" s="3">
        <v>45033</v>
      </c>
      <c r="B82">
        <v>0</v>
      </c>
      <c r="E82">
        <f t="shared" si="1"/>
        <v>0</v>
      </c>
    </row>
    <row r="83" spans="1:5" x14ac:dyDescent="0.25">
      <c r="A83" s="3">
        <v>45034</v>
      </c>
      <c r="B83">
        <v>0</v>
      </c>
      <c r="E83">
        <f t="shared" si="1"/>
        <v>0</v>
      </c>
    </row>
    <row r="84" spans="1:5" x14ac:dyDescent="0.25">
      <c r="A84" s="3">
        <v>45035</v>
      </c>
      <c r="B84">
        <v>0</v>
      </c>
      <c r="E84">
        <f t="shared" si="1"/>
        <v>0</v>
      </c>
    </row>
    <row r="85" spans="1:5" x14ac:dyDescent="0.25">
      <c r="A85" s="3">
        <v>45036</v>
      </c>
      <c r="B85">
        <v>0</v>
      </c>
      <c r="E85">
        <f t="shared" si="1"/>
        <v>0</v>
      </c>
    </row>
    <row r="86" spans="1:5" x14ac:dyDescent="0.25">
      <c r="A86" s="3">
        <v>45037</v>
      </c>
      <c r="B86">
        <v>0</v>
      </c>
      <c r="E86">
        <f t="shared" si="1"/>
        <v>0</v>
      </c>
    </row>
    <row r="87" spans="1:5" x14ac:dyDescent="0.25">
      <c r="A87" s="3">
        <v>45038</v>
      </c>
      <c r="B87">
        <v>0</v>
      </c>
      <c r="E87">
        <f t="shared" si="1"/>
        <v>0</v>
      </c>
    </row>
    <row r="88" spans="1:5" x14ac:dyDescent="0.25">
      <c r="A88" s="3">
        <v>45039</v>
      </c>
      <c r="B88">
        <v>0</v>
      </c>
      <c r="E88">
        <f t="shared" si="1"/>
        <v>0</v>
      </c>
    </row>
    <row r="89" spans="1:5" x14ac:dyDescent="0.25">
      <c r="A89" s="3">
        <v>45040</v>
      </c>
      <c r="B89">
        <v>0</v>
      </c>
      <c r="E89">
        <f t="shared" si="1"/>
        <v>0</v>
      </c>
    </row>
    <row r="90" spans="1:5" x14ac:dyDescent="0.25">
      <c r="A90" s="3">
        <v>45041</v>
      </c>
      <c r="B90">
        <v>0</v>
      </c>
      <c r="E90">
        <f t="shared" si="1"/>
        <v>0</v>
      </c>
    </row>
    <row r="91" spans="1:5" x14ac:dyDescent="0.25">
      <c r="A91" s="3">
        <v>45042</v>
      </c>
      <c r="B91">
        <v>0</v>
      </c>
      <c r="E91">
        <f t="shared" si="1"/>
        <v>0</v>
      </c>
    </row>
    <row r="92" spans="1:5" x14ac:dyDescent="0.25">
      <c r="A92" s="3">
        <v>45043</v>
      </c>
      <c r="B92">
        <v>0</v>
      </c>
      <c r="E92">
        <f t="shared" si="1"/>
        <v>0</v>
      </c>
    </row>
    <row r="93" spans="1:5" x14ac:dyDescent="0.25">
      <c r="A93" s="3">
        <v>45044</v>
      </c>
      <c r="B93">
        <v>0</v>
      </c>
      <c r="E93">
        <f t="shared" si="1"/>
        <v>0</v>
      </c>
    </row>
    <row r="94" spans="1:5" x14ac:dyDescent="0.25">
      <c r="A94" s="3">
        <v>45045</v>
      </c>
      <c r="B94">
        <v>0</v>
      </c>
      <c r="E94">
        <f t="shared" si="1"/>
        <v>0</v>
      </c>
    </row>
    <row r="95" spans="1:5" x14ac:dyDescent="0.25">
      <c r="A95" s="3">
        <v>45046</v>
      </c>
      <c r="B95">
        <v>0</v>
      </c>
      <c r="E95">
        <f t="shared" si="1"/>
        <v>0</v>
      </c>
    </row>
    <row r="96" spans="1:5" x14ac:dyDescent="0.25">
      <c r="A96" s="3">
        <v>45047</v>
      </c>
      <c r="B96">
        <v>0</v>
      </c>
      <c r="E96">
        <f t="shared" si="1"/>
        <v>0</v>
      </c>
    </row>
    <row r="97" spans="1:5" x14ac:dyDescent="0.25">
      <c r="A97" s="3">
        <v>45048</v>
      </c>
      <c r="B97">
        <v>0</v>
      </c>
      <c r="E97">
        <f t="shared" si="1"/>
        <v>0</v>
      </c>
    </row>
    <row r="98" spans="1:5" x14ac:dyDescent="0.25">
      <c r="A98" s="3">
        <v>45049</v>
      </c>
      <c r="B98">
        <v>0</v>
      </c>
      <c r="E98">
        <f t="shared" si="1"/>
        <v>0</v>
      </c>
    </row>
    <row r="99" spans="1:5" x14ac:dyDescent="0.25">
      <c r="A99" s="3">
        <v>45050</v>
      </c>
      <c r="B99">
        <v>0</v>
      </c>
      <c r="E99">
        <f t="shared" si="1"/>
        <v>0</v>
      </c>
    </row>
    <row r="100" spans="1:5" x14ac:dyDescent="0.25">
      <c r="A100" s="3">
        <v>45051</v>
      </c>
      <c r="B100">
        <v>0</v>
      </c>
      <c r="E100">
        <f t="shared" si="1"/>
        <v>0</v>
      </c>
    </row>
    <row r="101" spans="1:5" x14ac:dyDescent="0.25">
      <c r="A101" s="3">
        <v>45052</v>
      </c>
      <c r="B101">
        <v>0</v>
      </c>
      <c r="E101">
        <f t="shared" si="1"/>
        <v>0</v>
      </c>
    </row>
    <row r="102" spans="1:5" x14ac:dyDescent="0.25">
      <c r="A102" s="3">
        <v>45053</v>
      </c>
      <c r="B102">
        <v>0</v>
      </c>
      <c r="E102">
        <f t="shared" si="1"/>
        <v>0</v>
      </c>
    </row>
    <row r="103" spans="1:5" x14ac:dyDescent="0.25">
      <c r="A103" s="3">
        <v>45054</v>
      </c>
      <c r="B103">
        <v>0</v>
      </c>
      <c r="E103">
        <f t="shared" si="1"/>
        <v>0</v>
      </c>
    </row>
    <row r="104" spans="1:5" x14ac:dyDescent="0.25">
      <c r="A104" s="3">
        <v>45055</v>
      </c>
      <c r="B104">
        <v>0</v>
      </c>
      <c r="E104">
        <f t="shared" si="1"/>
        <v>0</v>
      </c>
    </row>
    <row r="105" spans="1:5" x14ac:dyDescent="0.25">
      <c r="A105" s="3">
        <v>45056</v>
      </c>
      <c r="B105">
        <v>0</v>
      </c>
      <c r="E105">
        <f t="shared" si="1"/>
        <v>0</v>
      </c>
    </row>
    <row r="106" spans="1:5" x14ac:dyDescent="0.25">
      <c r="A106" s="3">
        <v>45057</v>
      </c>
      <c r="B106">
        <v>0</v>
      </c>
      <c r="E106">
        <f t="shared" si="1"/>
        <v>0</v>
      </c>
    </row>
    <row r="107" spans="1:5" x14ac:dyDescent="0.25">
      <c r="A107" s="3">
        <v>45058</v>
      </c>
      <c r="B107">
        <v>0</v>
      </c>
      <c r="E107">
        <f t="shared" si="1"/>
        <v>0</v>
      </c>
    </row>
    <row r="108" spans="1:5" x14ac:dyDescent="0.25">
      <c r="A108" s="3">
        <v>45059</v>
      </c>
      <c r="B108">
        <v>0</v>
      </c>
      <c r="E108">
        <f t="shared" si="1"/>
        <v>0</v>
      </c>
    </row>
    <row r="109" spans="1:5" x14ac:dyDescent="0.25">
      <c r="A109" s="3">
        <v>45060</v>
      </c>
      <c r="B109">
        <v>0</v>
      </c>
      <c r="E109">
        <f t="shared" si="1"/>
        <v>0</v>
      </c>
    </row>
    <row r="110" spans="1:5" x14ac:dyDescent="0.25">
      <c r="A110" s="3">
        <v>45061</v>
      </c>
      <c r="B110">
        <v>0</v>
      </c>
      <c r="E110">
        <f t="shared" si="1"/>
        <v>0</v>
      </c>
    </row>
    <row r="111" spans="1:5" x14ac:dyDescent="0.25">
      <c r="A111" s="3">
        <v>45062</v>
      </c>
      <c r="B111">
        <v>0</v>
      </c>
      <c r="E111">
        <f t="shared" si="1"/>
        <v>0</v>
      </c>
    </row>
    <row r="112" spans="1:5" x14ac:dyDescent="0.25">
      <c r="A112" s="3">
        <v>45063</v>
      </c>
      <c r="B112">
        <v>0</v>
      </c>
      <c r="E112">
        <f t="shared" si="1"/>
        <v>0</v>
      </c>
    </row>
    <row r="113" spans="1:5" x14ac:dyDescent="0.25">
      <c r="A113" s="3">
        <v>45064</v>
      </c>
      <c r="B113">
        <v>0</v>
      </c>
      <c r="E113">
        <f t="shared" si="1"/>
        <v>0</v>
      </c>
    </row>
    <row r="114" spans="1:5" x14ac:dyDescent="0.25">
      <c r="A114" s="3">
        <v>45065</v>
      </c>
      <c r="B114">
        <v>0</v>
      </c>
      <c r="E114">
        <f t="shared" si="1"/>
        <v>0</v>
      </c>
    </row>
    <row r="115" spans="1:5" x14ac:dyDescent="0.25">
      <c r="A115" s="3">
        <v>45066</v>
      </c>
      <c r="B115">
        <v>0</v>
      </c>
      <c r="E115">
        <f t="shared" si="1"/>
        <v>0</v>
      </c>
    </row>
    <row r="116" spans="1:5" x14ac:dyDescent="0.25">
      <c r="A116" s="3">
        <v>45067</v>
      </c>
      <c r="B116">
        <v>0</v>
      </c>
      <c r="E116">
        <f t="shared" si="1"/>
        <v>0</v>
      </c>
    </row>
    <row r="117" spans="1:5" x14ac:dyDescent="0.25">
      <c r="A117" s="3">
        <v>45068</v>
      </c>
      <c r="B117">
        <v>0</v>
      </c>
      <c r="E117">
        <f t="shared" si="1"/>
        <v>0</v>
      </c>
    </row>
    <row r="118" spans="1:5" x14ac:dyDescent="0.25">
      <c r="A118" s="3">
        <v>45069</v>
      </c>
      <c r="B118">
        <v>0</v>
      </c>
      <c r="E118">
        <f t="shared" si="1"/>
        <v>0</v>
      </c>
    </row>
    <row r="119" spans="1:5" x14ac:dyDescent="0.25">
      <c r="A119" s="3">
        <v>45070</v>
      </c>
      <c r="B119">
        <v>0</v>
      </c>
      <c r="E119">
        <f t="shared" si="1"/>
        <v>0</v>
      </c>
    </row>
    <row r="120" spans="1:5" x14ac:dyDescent="0.25">
      <c r="A120" s="3">
        <v>45071</v>
      </c>
      <c r="B120">
        <v>0</v>
      </c>
      <c r="E120">
        <f t="shared" si="1"/>
        <v>0</v>
      </c>
    </row>
    <row r="121" spans="1:5" x14ac:dyDescent="0.25">
      <c r="A121" s="3">
        <v>45072</v>
      </c>
      <c r="B121">
        <v>0</v>
      </c>
      <c r="E121">
        <f t="shared" si="1"/>
        <v>0</v>
      </c>
    </row>
    <row r="122" spans="1:5" x14ac:dyDescent="0.25">
      <c r="A122" s="3">
        <v>45073</v>
      </c>
      <c r="B122">
        <v>0</v>
      </c>
      <c r="E122">
        <f t="shared" si="1"/>
        <v>0</v>
      </c>
    </row>
    <row r="123" spans="1:5" x14ac:dyDescent="0.25">
      <c r="A123" s="3">
        <v>45074</v>
      </c>
      <c r="B123">
        <v>0</v>
      </c>
      <c r="E123">
        <f t="shared" si="1"/>
        <v>0</v>
      </c>
    </row>
    <row r="124" spans="1:5" x14ac:dyDescent="0.25">
      <c r="A124" s="3">
        <v>45075</v>
      </c>
      <c r="B124">
        <v>0</v>
      </c>
      <c r="E124">
        <f t="shared" si="1"/>
        <v>0</v>
      </c>
    </row>
    <row r="125" spans="1:5" x14ac:dyDescent="0.25">
      <c r="A125" s="3">
        <v>45076</v>
      </c>
      <c r="B125">
        <v>0</v>
      </c>
      <c r="E125">
        <f t="shared" si="1"/>
        <v>0</v>
      </c>
    </row>
    <row r="126" spans="1:5" x14ac:dyDescent="0.25">
      <c r="A126" s="3">
        <v>45077</v>
      </c>
      <c r="B126">
        <v>0</v>
      </c>
      <c r="E126">
        <f t="shared" si="1"/>
        <v>0</v>
      </c>
    </row>
    <row r="127" spans="1:5" x14ac:dyDescent="0.25">
      <c r="A127" s="3">
        <v>45078</v>
      </c>
      <c r="B127">
        <v>0</v>
      </c>
      <c r="E127">
        <f t="shared" si="1"/>
        <v>0</v>
      </c>
    </row>
    <row r="128" spans="1:5" x14ac:dyDescent="0.25">
      <c r="A128" s="3">
        <v>45079</v>
      </c>
      <c r="B128">
        <v>0</v>
      </c>
      <c r="E128">
        <f t="shared" si="1"/>
        <v>0</v>
      </c>
    </row>
    <row r="129" spans="1:5" x14ac:dyDescent="0.25">
      <c r="A129" s="3">
        <v>45080</v>
      </c>
      <c r="B129">
        <v>0</v>
      </c>
      <c r="E129">
        <f t="shared" si="1"/>
        <v>0</v>
      </c>
    </row>
    <row r="130" spans="1:5" x14ac:dyDescent="0.25">
      <c r="A130" s="3">
        <v>45081</v>
      </c>
      <c r="B130">
        <v>0</v>
      </c>
      <c r="E130">
        <f t="shared" ref="E130:E193" si="2">0*(20/7)</f>
        <v>0</v>
      </c>
    </row>
    <row r="131" spans="1:5" x14ac:dyDescent="0.25">
      <c r="A131" s="3">
        <v>45082</v>
      </c>
      <c r="B131">
        <v>0</v>
      </c>
      <c r="E131">
        <f t="shared" si="2"/>
        <v>0</v>
      </c>
    </row>
    <row r="132" spans="1:5" x14ac:dyDescent="0.25">
      <c r="A132" s="3">
        <v>45083</v>
      </c>
      <c r="B132">
        <v>0</v>
      </c>
      <c r="E132">
        <f t="shared" si="2"/>
        <v>0</v>
      </c>
    </row>
    <row r="133" spans="1:5" x14ac:dyDescent="0.25">
      <c r="A133" s="3">
        <v>45084</v>
      </c>
      <c r="B133">
        <v>0</v>
      </c>
      <c r="E133">
        <f t="shared" si="2"/>
        <v>0</v>
      </c>
    </row>
    <row r="134" spans="1:5" x14ac:dyDescent="0.25">
      <c r="A134" s="3">
        <v>45085</v>
      </c>
      <c r="B134">
        <v>0</v>
      </c>
      <c r="E134">
        <f t="shared" si="2"/>
        <v>0</v>
      </c>
    </row>
    <row r="135" spans="1:5" x14ac:dyDescent="0.25">
      <c r="A135" s="3">
        <v>45086</v>
      </c>
      <c r="B135">
        <v>0</v>
      </c>
      <c r="E135">
        <f t="shared" si="2"/>
        <v>0</v>
      </c>
    </row>
    <row r="136" spans="1:5" x14ac:dyDescent="0.25">
      <c r="A136" s="3">
        <v>45087</v>
      </c>
      <c r="B136">
        <v>0</v>
      </c>
      <c r="E136">
        <f t="shared" si="2"/>
        <v>0</v>
      </c>
    </row>
    <row r="137" spans="1:5" x14ac:dyDescent="0.25">
      <c r="A137" s="3">
        <v>45088</v>
      </c>
      <c r="B137">
        <v>0</v>
      </c>
      <c r="E137">
        <f t="shared" si="2"/>
        <v>0</v>
      </c>
    </row>
    <row r="138" spans="1:5" x14ac:dyDescent="0.25">
      <c r="A138" s="3">
        <v>45089</v>
      </c>
      <c r="B138">
        <v>0</v>
      </c>
      <c r="E138">
        <f t="shared" si="2"/>
        <v>0</v>
      </c>
    </row>
    <row r="139" spans="1:5" x14ac:dyDescent="0.25">
      <c r="A139" s="3">
        <v>45090</v>
      </c>
      <c r="B139">
        <v>0</v>
      </c>
      <c r="E139">
        <f t="shared" si="2"/>
        <v>0</v>
      </c>
    </row>
    <row r="140" spans="1:5" x14ac:dyDescent="0.25">
      <c r="A140" s="3">
        <v>45091</v>
      </c>
      <c r="B140">
        <v>0</v>
      </c>
      <c r="E140">
        <f t="shared" si="2"/>
        <v>0</v>
      </c>
    </row>
    <row r="141" spans="1:5" x14ac:dyDescent="0.25">
      <c r="A141" s="3">
        <v>45092</v>
      </c>
      <c r="B141">
        <v>0</v>
      </c>
      <c r="E141">
        <f t="shared" si="2"/>
        <v>0</v>
      </c>
    </row>
    <row r="142" spans="1:5" x14ac:dyDescent="0.25">
      <c r="A142" s="3">
        <v>45093</v>
      </c>
      <c r="B142">
        <v>0</v>
      </c>
      <c r="E142">
        <f t="shared" si="2"/>
        <v>0</v>
      </c>
    </row>
    <row r="143" spans="1:5" x14ac:dyDescent="0.25">
      <c r="A143" s="3">
        <v>45094</v>
      </c>
      <c r="B143">
        <v>0</v>
      </c>
      <c r="E143">
        <f t="shared" si="2"/>
        <v>0</v>
      </c>
    </row>
    <row r="144" spans="1:5" x14ac:dyDescent="0.25">
      <c r="A144" s="3">
        <v>45095</v>
      </c>
      <c r="B144">
        <v>0</v>
      </c>
      <c r="E144">
        <f t="shared" si="2"/>
        <v>0</v>
      </c>
    </row>
    <row r="145" spans="1:5" x14ac:dyDescent="0.25">
      <c r="A145" s="3">
        <v>45096</v>
      </c>
      <c r="B145">
        <v>0</v>
      </c>
      <c r="E145">
        <f t="shared" si="2"/>
        <v>0</v>
      </c>
    </row>
    <row r="146" spans="1:5" x14ac:dyDescent="0.25">
      <c r="A146" s="3">
        <v>45097</v>
      </c>
      <c r="B146">
        <v>0</v>
      </c>
      <c r="E146">
        <f t="shared" si="2"/>
        <v>0</v>
      </c>
    </row>
    <row r="147" spans="1:5" x14ac:dyDescent="0.25">
      <c r="A147" s="3">
        <v>45098</v>
      </c>
      <c r="B147">
        <v>0</v>
      </c>
      <c r="E147">
        <f t="shared" si="2"/>
        <v>0</v>
      </c>
    </row>
    <row r="148" spans="1:5" x14ac:dyDescent="0.25">
      <c r="A148" s="3">
        <v>45099</v>
      </c>
      <c r="B148">
        <v>0</v>
      </c>
      <c r="E148">
        <f t="shared" si="2"/>
        <v>0</v>
      </c>
    </row>
    <row r="149" spans="1:5" x14ac:dyDescent="0.25">
      <c r="A149" s="3">
        <v>45100</v>
      </c>
      <c r="B149">
        <v>0</v>
      </c>
      <c r="E149">
        <f t="shared" si="2"/>
        <v>0</v>
      </c>
    </row>
    <row r="150" spans="1:5" x14ac:dyDescent="0.25">
      <c r="A150" s="3">
        <v>45101</v>
      </c>
      <c r="B150">
        <v>0</v>
      </c>
      <c r="E150">
        <f t="shared" si="2"/>
        <v>0</v>
      </c>
    </row>
    <row r="151" spans="1:5" x14ac:dyDescent="0.25">
      <c r="A151" s="3">
        <v>45102</v>
      </c>
      <c r="B151">
        <v>0</v>
      </c>
      <c r="E151">
        <f t="shared" si="2"/>
        <v>0</v>
      </c>
    </row>
    <row r="152" spans="1:5" x14ac:dyDescent="0.25">
      <c r="A152" s="3">
        <v>45103</v>
      </c>
      <c r="B152">
        <v>0</v>
      </c>
      <c r="E152">
        <f t="shared" si="2"/>
        <v>0</v>
      </c>
    </row>
    <row r="153" spans="1:5" x14ac:dyDescent="0.25">
      <c r="A153" s="3">
        <v>45104</v>
      </c>
      <c r="B153">
        <v>0</v>
      </c>
      <c r="E153">
        <f t="shared" si="2"/>
        <v>0</v>
      </c>
    </row>
    <row r="154" spans="1:5" x14ac:dyDescent="0.25">
      <c r="A154" s="3">
        <v>45105</v>
      </c>
      <c r="B154">
        <v>0</v>
      </c>
      <c r="E154">
        <f t="shared" si="2"/>
        <v>0</v>
      </c>
    </row>
    <row r="155" spans="1:5" x14ac:dyDescent="0.25">
      <c r="A155" s="3">
        <v>45106</v>
      </c>
      <c r="B155">
        <v>0</v>
      </c>
      <c r="E155">
        <f t="shared" si="2"/>
        <v>0</v>
      </c>
    </row>
    <row r="156" spans="1:5" x14ac:dyDescent="0.25">
      <c r="A156" s="3">
        <v>45107</v>
      </c>
      <c r="B156">
        <v>0</v>
      </c>
      <c r="E156">
        <f t="shared" si="2"/>
        <v>0</v>
      </c>
    </row>
    <row r="157" spans="1:5" x14ac:dyDescent="0.25">
      <c r="A157" s="3">
        <v>45108</v>
      </c>
      <c r="B157">
        <v>0</v>
      </c>
      <c r="E157">
        <f t="shared" si="2"/>
        <v>0</v>
      </c>
    </row>
    <row r="158" spans="1:5" x14ac:dyDescent="0.25">
      <c r="A158" s="3">
        <v>45109</v>
      </c>
      <c r="B158">
        <v>0</v>
      </c>
      <c r="E158">
        <f t="shared" si="2"/>
        <v>0</v>
      </c>
    </row>
    <row r="159" spans="1:5" x14ac:dyDescent="0.25">
      <c r="A159" s="3">
        <v>45110</v>
      </c>
      <c r="B159">
        <v>0</v>
      </c>
      <c r="E159">
        <f t="shared" si="2"/>
        <v>0</v>
      </c>
    </row>
    <row r="160" spans="1:5" x14ac:dyDescent="0.25">
      <c r="A160" s="3">
        <v>45111</v>
      </c>
      <c r="B160">
        <v>0</v>
      </c>
      <c r="E160">
        <f t="shared" si="2"/>
        <v>0</v>
      </c>
    </row>
    <row r="161" spans="1:5" x14ac:dyDescent="0.25">
      <c r="A161" s="3">
        <v>45112</v>
      </c>
      <c r="B161">
        <v>0</v>
      </c>
      <c r="E161">
        <f t="shared" si="2"/>
        <v>0</v>
      </c>
    </row>
    <row r="162" spans="1:5" x14ac:dyDescent="0.25">
      <c r="A162" s="3">
        <v>45113</v>
      </c>
      <c r="B162">
        <v>0</v>
      </c>
      <c r="E162">
        <f t="shared" si="2"/>
        <v>0</v>
      </c>
    </row>
    <row r="163" spans="1:5" x14ac:dyDescent="0.25">
      <c r="A163" s="3">
        <v>45114</v>
      </c>
      <c r="B163">
        <v>0</v>
      </c>
      <c r="E163">
        <f t="shared" si="2"/>
        <v>0</v>
      </c>
    </row>
    <row r="164" spans="1:5" x14ac:dyDescent="0.25">
      <c r="A164" s="3">
        <v>45115</v>
      </c>
      <c r="B164">
        <v>0</v>
      </c>
      <c r="E164">
        <f t="shared" si="2"/>
        <v>0</v>
      </c>
    </row>
    <row r="165" spans="1:5" x14ac:dyDescent="0.25">
      <c r="A165" s="3">
        <v>45116</v>
      </c>
      <c r="B165">
        <v>0</v>
      </c>
      <c r="E165">
        <f t="shared" si="2"/>
        <v>0</v>
      </c>
    </row>
    <row r="166" spans="1:5" x14ac:dyDescent="0.25">
      <c r="A166" s="3">
        <v>45117</v>
      </c>
      <c r="B166">
        <v>0</v>
      </c>
      <c r="E166">
        <f t="shared" si="2"/>
        <v>0</v>
      </c>
    </row>
    <row r="167" spans="1:5" x14ac:dyDescent="0.25">
      <c r="A167" s="3">
        <v>45118</v>
      </c>
      <c r="B167">
        <v>0</v>
      </c>
      <c r="E167">
        <f t="shared" si="2"/>
        <v>0</v>
      </c>
    </row>
    <row r="168" spans="1:5" x14ac:dyDescent="0.25">
      <c r="A168" s="3">
        <v>45119</v>
      </c>
      <c r="B168">
        <v>0</v>
      </c>
      <c r="E168">
        <f t="shared" si="2"/>
        <v>0</v>
      </c>
    </row>
    <row r="169" spans="1:5" x14ac:dyDescent="0.25">
      <c r="A169" s="3">
        <v>45120</v>
      </c>
      <c r="B169">
        <v>0</v>
      </c>
      <c r="E169">
        <f t="shared" si="2"/>
        <v>0</v>
      </c>
    </row>
    <row r="170" spans="1:5" x14ac:dyDescent="0.25">
      <c r="A170" s="3">
        <v>45121</v>
      </c>
      <c r="B170">
        <v>0</v>
      </c>
      <c r="E170">
        <f t="shared" si="2"/>
        <v>0</v>
      </c>
    </row>
    <row r="171" spans="1:5" x14ac:dyDescent="0.25">
      <c r="A171" s="3">
        <v>45122</v>
      </c>
      <c r="B171">
        <v>0</v>
      </c>
      <c r="E171">
        <f t="shared" si="2"/>
        <v>0</v>
      </c>
    </row>
    <row r="172" spans="1:5" x14ac:dyDescent="0.25">
      <c r="A172" s="3">
        <v>45123</v>
      </c>
      <c r="B172">
        <v>0</v>
      </c>
      <c r="E172">
        <f t="shared" si="2"/>
        <v>0</v>
      </c>
    </row>
    <row r="173" spans="1:5" x14ac:dyDescent="0.25">
      <c r="A173" s="3">
        <v>45124</v>
      </c>
      <c r="B173">
        <v>0</v>
      </c>
      <c r="E173">
        <f t="shared" si="2"/>
        <v>0</v>
      </c>
    </row>
    <row r="174" spans="1:5" x14ac:dyDescent="0.25">
      <c r="A174" s="3">
        <v>45125</v>
      </c>
      <c r="B174">
        <v>0</v>
      </c>
      <c r="E174">
        <f t="shared" si="2"/>
        <v>0</v>
      </c>
    </row>
    <row r="175" spans="1:5" x14ac:dyDescent="0.25">
      <c r="A175" s="3">
        <v>45126</v>
      </c>
      <c r="B175">
        <v>0</v>
      </c>
      <c r="E175">
        <f t="shared" si="2"/>
        <v>0</v>
      </c>
    </row>
    <row r="176" spans="1:5" x14ac:dyDescent="0.25">
      <c r="A176" s="3">
        <v>45127</v>
      </c>
      <c r="B176">
        <v>0</v>
      </c>
      <c r="E176">
        <f t="shared" si="2"/>
        <v>0</v>
      </c>
    </row>
    <row r="177" spans="1:5" x14ac:dyDescent="0.25">
      <c r="A177" s="3">
        <v>45128</v>
      </c>
      <c r="B177">
        <v>0</v>
      </c>
      <c r="E177">
        <f t="shared" si="2"/>
        <v>0</v>
      </c>
    </row>
    <row r="178" spans="1:5" x14ac:dyDescent="0.25">
      <c r="A178" s="3">
        <v>45129</v>
      </c>
      <c r="B178">
        <v>0</v>
      </c>
      <c r="E178">
        <f t="shared" si="2"/>
        <v>0</v>
      </c>
    </row>
    <row r="179" spans="1:5" x14ac:dyDescent="0.25">
      <c r="A179" s="3">
        <v>45130</v>
      </c>
      <c r="B179">
        <v>0</v>
      </c>
      <c r="E179">
        <f t="shared" si="2"/>
        <v>0</v>
      </c>
    </row>
    <row r="180" spans="1:5" x14ac:dyDescent="0.25">
      <c r="A180" s="3">
        <v>45131</v>
      </c>
      <c r="B180">
        <v>0</v>
      </c>
      <c r="E180">
        <f t="shared" si="2"/>
        <v>0</v>
      </c>
    </row>
    <row r="181" spans="1:5" x14ac:dyDescent="0.25">
      <c r="A181" s="3">
        <v>45132</v>
      </c>
      <c r="B181">
        <v>0</v>
      </c>
      <c r="E181">
        <f t="shared" si="2"/>
        <v>0</v>
      </c>
    </row>
    <row r="182" spans="1:5" x14ac:dyDescent="0.25">
      <c r="A182" s="3">
        <v>45133</v>
      </c>
      <c r="B182">
        <v>0</v>
      </c>
      <c r="E182">
        <f t="shared" si="2"/>
        <v>0</v>
      </c>
    </row>
    <row r="183" spans="1:5" x14ac:dyDescent="0.25">
      <c r="A183" s="3">
        <v>45134</v>
      </c>
      <c r="B183">
        <v>0</v>
      </c>
      <c r="E183">
        <f t="shared" si="2"/>
        <v>0</v>
      </c>
    </row>
    <row r="184" spans="1:5" x14ac:dyDescent="0.25">
      <c r="A184" s="3">
        <v>45135</v>
      </c>
      <c r="B184">
        <v>0</v>
      </c>
      <c r="E184">
        <f t="shared" si="2"/>
        <v>0</v>
      </c>
    </row>
    <row r="185" spans="1:5" x14ac:dyDescent="0.25">
      <c r="A185" s="3">
        <v>45136</v>
      </c>
      <c r="B185">
        <v>0</v>
      </c>
      <c r="E185">
        <f t="shared" si="2"/>
        <v>0</v>
      </c>
    </row>
    <row r="186" spans="1:5" x14ac:dyDescent="0.25">
      <c r="A186" s="3">
        <v>45137</v>
      </c>
      <c r="B186">
        <v>0</v>
      </c>
      <c r="E186">
        <f t="shared" si="2"/>
        <v>0</v>
      </c>
    </row>
    <row r="187" spans="1:5" x14ac:dyDescent="0.25">
      <c r="A187" s="3">
        <v>45138</v>
      </c>
      <c r="B187">
        <v>0</v>
      </c>
      <c r="E187">
        <f t="shared" si="2"/>
        <v>0</v>
      </c>
    </row>
    <row r="188" spans="1:5" x14ac:dyDescent="0.25">
      <c r="A188" s="3">
        <v>45139</v>
      </c>
      <c r="B188">
        <v>0</v>
      </c>
      <c r="E188">
        <f t="shared" si="2"/>
        <v>0</v>
      </c>
    </row>
    <row r="189" spans="1:5" x14ac:dyDescent="0.25">
      <c r="A189" s="3">
        <v>45140</v>
      </c>
      <c r="B189">
        <v>0</v>
      </c>
      <c r="E189">
        <f t="shared" si="2"/>
        <v>0</v>
      </c>
    </row>
    <row r="190" spans="1:5" x14ac:dyDescent="0.25">
      <c r="A190" s="3">
        <v>45141</v>
      </c>
      <c r="B190">
        <v>0</v>
      </c>
      <c r="E190">
        <f t="shared" si="2"/>
        <v>0</v>
      </c>
    </row>
    <row r="191" spans="1:5" x14ac:dyDescent="0.25">
      <c r="A191" s="3">
        <v>45142</v>
      </c>
      <c r="B191">
        <v>0</v>
      </c>
      <c r="E191">
        <f t="shared" si="2"/>
        <v>0</v>
      </c>
    </row>
    <row r="192" spans="1:5" x14ac:dyDescent="0.25">
      <c r="A192" s="3">
        <v>45143</v>
      </c>
      <c r="B192">
        <v>0</v>
      </c>
      <c r="E192">
        <f t="shared" si="2"/>
        <v>0</v>
      </c>
    </row>
    <row r="193" spans="1:5" x14ac:dyDescent="0.25">
      <c r="A193" s="3">
        <v>45144</v>
      </c>
      <c r="B193">
        <v>0</v>
      </c>
      <c r="E193">
        <f t="shared" si="2"/>
        <v>0</v>
      </c>
    </row>
    <row r="194" spans="1:5" x14ac:dyDescent="0.25">
      <c r="A194" s="3">
        <v>45145</v>
      </c>
      <c r="B194">
        <v>0</v>
      </c>
      <c r="E194">
        <f t="shared" ref="E194:E257" si="3">0*(20/7)</f>
        <v>0</v>
      </c>
    </row>
    <row r="195" spans="1:5" x14ac:dyDescent="0.25">
      <c r="A195" s="3">
        <v>45146</v>
      </c>
      <c r="B195">
        <v>0</v>
      </c>
      <c r="E195">
        <f t="shared" si="3"/>
        <v>0</v>
      </c>
    </row>
    <row r="196" spans="1:5" x14ac:dyDescent="0.25">
      <c r="A196" s="3">
        <v>45147</v>
      </c>
      <c r="B196">
        <v>0</v>
      </c>
      <c r="E196">
        <f t="shared" si="3"/>
        <v>0</v>
      </c>
    </row>
    <row r="197" spans="1:5" x14ac:dyDescent="0.25">
      <c r="A197" s="3">
        <v>45148</v>
      </c>
      <c r="B197">
        <v>0</v>
      </c>
      <c r="E197">
        <f t="shared" si="3"/>
        <v>0</v>
      </c>
    </row>
    <row r="198" spans="1:5" x14ac:dyDescent="0.25">
      <c r="A198" s="3">
        <v>45149</v>
      </c>
      <c r="B198">
        <v>0</v>
      </c>
      <c r="E198">
        <f t="shared" si="3"/>
        <v>0</v>
      </c>
    </row>
    <row r="199" spans="1:5" x14ac:dyDescent="0.25">
      <c r="A199" s="3">
        <v>45150</v>
      </c>
      <c r="B199">
        <v>0</v>
      </c>
      <c r="E199">
        <f t="shared" si="3"/>
        <v>0</v>
      </c>
    </row>
    <row r="200" spans="1:5" x14ac:dyDescent="0.25">
      <c r="A200" s="3">
        <v>45151</v>
      </c>
      <c r="B200">
        <v>0</v>
      </c>
      <c r="E200">
        <f t="shared" si="3"/>
        <v>0</v>
      </c>
    </row>
    <row r="201" spans="1:5" x14ac:dyDescent="0.25">
      <c r="A201" s="3">
        <v>45152</v>
      </c>
      <c r="B201">
        <v>0</v>
      </c>
      <c r="E201">
        <f t="shared" si="3"/>
        <v>0</v>
      </c>
    </row>
    <row r="202" spans="1:5" x14ac:dyDescent="0.25">
      <c r="A202" s="3">
        <v>45153</v>
      </c>
      <c r="B202">
        <v>0</v>
      </c>
      <c r="E202">
        <f t="shared" si="3"/>
        <v>0</v>
      </c>
    </row>
    <row r="203" spans="1:5" x14ac:dyDescent="0.25">
      <c r="A203" s="3">
        <v>45154</v>
      </c>
      <c r="B203">
        <v>0</v>
      </c>
      <c r="E203">
        <f t="shared" si="3"/>
        <v>0</v>
      </c>
    </row>
    <row r="204" spans="1:5" x14ac:dyDescent="0.25">
      <c r="A204" s="3">
        <v>45155</v>
      </c>
      <c r="B204">
        <v>0</v>
      </c>
      <c r="E204">
        <f t="shared" si="3"/>
        <v>0</v>
      </c>
    </row>
    <row r="205" spans="1:5" x14ac:dyDescent="0.25">
      <c r="A205" s="3">
        <v>45156</v>
      </c>
      <c r="B205">
        <v>0</v>
      </c>
      <c r="E205">
        <f t="shared" si="3"/>
        <v>0</v>
      </c>
    </row>
    <row r="206" spans="1:5" x14ac:dyDescent="0.25">
      <c r="A206" s="3">
        <v>45157</v>
      </c>
      <c r="B206">
        <v>0</v>
      </c>
      <c r="E206">
        <f t="shared" si="3"/>
        <v>0</v>
      </c>
    </row>
    <row r="207" spans="1:5" x14ac:dyDescent="0.25">
      <c r="A207" s="3">
        <v>45158</v>
      </c>
      <c r="B207">
        <v>0</v>
      </c>
      <c r="E207">
        <f t="shared" si="3"/>
        <v>0</v>
      </c>
    </row>
    <row r="208" spans="1:5" x14ac:dyDescent="0.25">
      <c r="A208" s="3">
        <v>45159</v>
      </c>
      <c r="B208">
        <v>0</v>
      </c>
      <c r="E208">
        <f t="shared" si="3"/>
        <v>0</v>
      </c>
    </row>
    <row r="209" spans="1:5" x14ac:dyDescent="0.25">
      <c r="A209" s="3">
        <v>45160</v>
      </c>
      <c r="B209">
        <v>0</v>
      </c>
      <c r="E209">
        <f t="shared" si="3"/>
        <v>0</v>
      </c>
    </row>
    <row r="210" spans="1:5" x14ac:dyDescent="0.25">
      <c r="A210" s="3">
        <v>45161</v>
      </c>
      <c r="B210">
        <v>0</v>
      </c>
      <c r="E210">
        <f t="shared" si="3"/>
        <v>0</v>
      </c>
    </row>
    <row r="211" spans="1:5" x14ac:dyDescent="0.25">
      <c r="A211" s="3">
        <v>45162</v>
      </c>
      <c r="B211">
        <v>0</v>
      </c>
      <c r="E211">
        <f t="shared" si="3"/>
        <v>0</v>
      </c>
    </row>
    <row r="212" spans="1:5" x14ac:dyDescent="0.25">
      <c r="A212" s="3">
        <v>45163</v>
      </c>
      <c r="B212">
        <v>0</v>
      </c>
      <c r="E212">
        <f t="shared" si="3"/>
        <v>0</v>
      </c>
    </row>
    <row r="213" spans="1:5" x14ac:dyDescent="0.25">
      <c r="A213" s="3">
        <v>45164</v>
      </c>
      <c r="B213">
        <v>0</v>
      </c>
      <c r="E213">
        <f t="shared" si="3"/>
        <v>0</v>
      </c>
    </row>
    <row r="214" spans="1:5" x14ac:dyDescent="0.25">
      <c r="A214" s="3">
        <v>45165</v>
      </c>
      <c r="B214">
        <v>0</v>
      </c>
      <c r="E214">
        <f t="shared" si="3"/>
        <v>0</v>
      </c>
    </row>
    <row r="215" spans="1:5" x14ac:dyDescent="0.25">
      <c r="A215" s="3">
        <v>45166</v>
      </c>
      <c r="B215">
        <v>0</v>
      </c>
      <c r="E215">
        <f t="shared" si="3"/>
        <v>0</v>
      </c>
    </row>
    <row r="216" spans="1:5" x14ac:dyDescent="0.25">
      <c r="A216" s="3">
        <v>45167</v>
      </c>
      <c r="B216">
        <v>0</v>
      </c>
      <c r="E216">
        <f t="shared" si="3"/>
        <v>0</v>
      </c>
    </row>
    <row r="217" spans="1:5" x14ac:dyDescent="0.25">
      <c r="A217" s="3">
        <v>45168</v>
      </c>
      <c r="B217">
        <v>0</v>
      </c>
      <c r="E217">
        <f t="shared" si="3"/>
        <v>0</v>
      </c>
    </row>
    <row r="218" spans="1:5" x14ac:dyDescent="0.25">
      <c r="A218" s="3">
        <v>45169</v>
      </c>
      <c r="B218">
        <v>0</v>
      </c>
      <c r="E218">
        <f t="shared" si="3"/>
        <v>0</v>
      </c>
    </row>
    <row r="219" spans="1:5" x14ac:dyDescent="0.25">
      <c r="A219" s="3">
        <v>45170</v>
      </c>
      <c r="B219">
        <v>0</v>
      </c>
      <c r="E219">
        <f t="shared" si="3"/>
        <v>0</v>
      </c>
    </row>
    <row r="220" spans="1:5" x14ac:dyDescent="0.25">
      <c r="A220" s="3">
        <v>45171</v>
      </c>
      <c r="B220">
        <v>0</v>
      </c>
      <c r="E220">
        <f t="shared" si="3"/>
        <v>0</v>
      </c>
    </row>
    <row r="221" spans="1:5" x14ac:dyDescent="0.25">
      <c r="A221" s="3">
        <v>45172</v>
      </c>
      <c r="B221">
        <v>0</v>
      </c>
      <c r="E221">
        <f t="shared" si="3"/>
        <v>0</v>
      </c>
    </row>
    <row r="222" spans="1:5" x14ac:dyDescent="0.25">
      <c r="A222" s="3">
        <v>45173</v>
      </c>
      <c r="B222">
        <v>0</v>
      </c>
      <c r="E222">
        <f t="shared" si="3"/>
        <v>0</v>
      </c>
    </row>
    <row r="223" spans="1:5" x14ac:dyDescent="0.25">
      <c r="A223" s="3">
        <v>45174</v>
      </c>
      <c r="B223">
        <v>0</v>
      </c>
      <c r="E223">
        <f t="shared" si="3"/>
        <v>0</v>
      </c>
    </row>
    <row r="224" spans="1:5" x14ac:dyDescent="0.25">
      <c r="A224" s="3">
        <v>45175</v>
      </c>
      <c r="B224">
        <v>0</v>
      </c>
      <c r="E224">
        <f t="shared" si="3"/>
        <v>0</v>
      </c>
    </row>
    <row r="225" spans="1:5" x14ac:dyDescent="0.25">
      <c r="A225" s="3">
        <v>45176</v>
      </c>
      <c r="B225">
        <v>0</v>
      </c>
      <c r="E225">
        <f t="shared" si="3"/>
        <v>0</v>
      </c>
    </row>
    <row r="226" spans="1:5" x14ac:dyDescent="0.25">
      <c r="A226" s="3">
        <v>45177</v>
      </c>
      <c r="B226">
        <v>0</v>
      </c>
      <c r="E226">
        <f t="shared" si="3"/>
        <v>0</v>
      </c>
    </row>
    <row r="227" spans="1:5" x14ac:dyDescent="0.25">
      <c r="A227" s="3">
        <v>45178</v>
      </c>
      <c r="B227">
        <v>0</v>
      </c>
      <c r="E227">
        <f t="shared" si="3"/>
        <v>0</v>
      </c>
    </row>
    <row r="228" spans="1:5" x14ac:dyDescent="0.25">
      <c r="A228" s="3">
        <v>45179</v>
      </c>
      <c r="B228">
        <v>0</v>
      </c>
      <c r="E228">
        <f t="shared" si="3"/>
        <v>0</v>
      </c>
    </row>
    <row r="229" spans="1:5" x14ac:dyDescent="0.25">
      <c r="A229" s="3">
        <v>45180</v>
      </c>
      <c r="B229">
        <v>0</v>
      </c>
      <c r="E229">
        <f t="shared" si="3"/>
        <v>0</v>
      </c>
    </row>
    <row r="230" spans="1:5" x14ac:dyDescent="0.25">
      <c r="A230" s="3">
        <v>45181</v>
      </c>
      <c r="B230">
        <v>0</v>
      </c>
      <c r="E230">
        <f t="shared" si="3"/>
        <v>0</v>
      </c>
    </row>
    <row r="231" spans="1:5" x14ac:dyDescent="0.25">
      <c r="A231" s="3">
        <v>45182</v>
      </c>
      <c r="B231">
        <v>0</v>
      </c>
      <c r="E231">
        <f t="shared" si="3"/>
        <v>0</v>
      </c>
    </row>
    <row r="232" spans="1:5" x14ac:dyDescent="0.25">
      <c r="A232" s="3">
        <v>45183</v>
      </c>
      <c r="B232">
        <v>0</v>
      </c>
      <c r="E232">
        <f t="shared" si="3"/>
        <v>0</v>
      </c>
    </row>
    <row r="233" spans="1:5" x14ac:dyDescent="0.25">
      <c r="A233" s="3">
        <v>45184</v>
      </c>
      <c r="B233">
        <v>0</v>
      </c>
      <c r="E233">
        <f t="shared" si="3"/>
        <v>0</v>
      </c>
    </row>
    <row r="234" spans="1:5" x14ac:dyDescent="0.25">
      <c r="A234" s="3">
        <v>45185</v>
      </c>
      <c r="B234">
        <v>0</v>
      </c>
      <c r="E234">
        <f t="shared" si="3"/>
        <v>0</v>
      </c>
    </row>
    <row r="235" spans="1:5" x14ac:dyDescent="0.25">
      <c r="A235" s="3">
        <v>45186</v>
      </c>
      <c r="B235">
        <v>0</v>
      </c>
      <c r="E235">
        <f t="shared" si="3"/>
        <v>0</v>
      </c>
    </row>
    <row r="236" spans="1:5" x14ac:dyDescent="0.25">
      <c r="A236" s="3">
        <v>45187</v>
      </c>
      <c r="B236">
        <v>0</v>
      </c>
      <c r="E236">
        <f t="shared" si="3"/>
        <v>0</v>
      </c>
    </row>
    <row r="237" spans="1:5" x14ac:dyDescent="0.25">
      <c r="A237" s="3">
        <v>45188</v>
      </c>
      <c r="B237">
        <v>0</v>
      </c>
      <c r="E237">
        <f t="shared" si="3"/>
        <v>0</v>
      </c>
    </row>
    <row r="238" spans="1:5" x14ac:dyDescent="0.25">
      <c r="A238" s="3">
        <v>45189</v>
      </c>
      <c r="B238">
        <v>0</v>
      </c>
      <c r="E238">
        <f t="shared" si="3"/>
        <v>0</v>
      </c>
    </row>
    <row r="239" spans="1:5" x14ac:dyDescent="0.25">
      <c r="A239" s="3">
        <v>45190</v>
      </c>
      <c r="B239">
        <v>0</v>
      </c>
      <c r="E239">
        <f t="shared" si="3"/>
        <v>0</v>
      </c>
    </row>
    <row r="240" spans="1:5" x14ac:dyDescent="0.25">
      <c r="A240" s="3">
        <v>45191</v>
      </c>
      <c r="B240">
        <v>0</v>
      </c>
      <c r="E240">
        <f t="shared" si="3"/>
        <v>0</v>
      </c>
    </row>
    <row r="241" spans="1:5" x14ac:dyDescent="0.25">
      <c r="A241" s="3">
        <v>45192</v>
      </c>
      <c r="B241">
        <v>0</v>
      </c>
      <c r="E241">
        <f t="shared" si="3"/>
        <v>0</v>
      </c>
    </row>
    <row r="242" spans="1:5" x14ac:dyDescent="0.25">
      <c r="A242" s="3">
        <v>45193</v>
      </c>
      <c r="B242">
        <v>0</v>
      </c>
      <c r="E242">
        <f t="shared" si="3"/>
        <v>0</v>
      </c>
    </row>
    <row r="243" spans="1:5" x14ac:dyDescent="0.25">
      <c r="A243" s="3">
        <v>45194</v>
      </c>
      <c r="B243">
        <v>0</v>
      </c>
      <c r="E243">
        <f t="shared" si="3"/>
        <v>0</v>
      </c>
    </row>
    <row r="244" spans="1:5" x14ac:dyDescent="0.25">
      <c r="A244" s="3">
        <v>45195</v>
      </c>
      <c r="B244">
        <v>0</v>
      </c>
      <c r="E244">
        <f t="shared" si="3"/>
        <v>0</v>
      </c>
    </row>
    <row r="245" spans="1:5" x14ac:dyDescent="0.25">
      <c r="A245" s="3">
        <v>45196</v>
      </c>
      <c r="B245">
        <v>0</v>
      </c>
      <c r="E245">
        <f t="shared" si="3"/>
        <v>0</v>
      </c>
    </row>
    <row r="246" spans="1:5" x14ac:dyDescent="0.25">
      <c r="A246" s="3">
        <v>45197</v>
      </c>
      <c r="B246">
        <v>0</v>
      </c>
      <c r="E246">
        <f t="shared" si="3"/>
        <v>0</v>
      </c>
    </row>
    <row r="247" spans="1:5" x14ac:dyDescent="0.25">
      <c r="A247" s="3">
        <v>45198</v>
      </c>
      <c r="B247">
        <v>0</v>
      </c>
      <c r="E247">
        <f t="shared" si="3"/>
        <v>0</v>
      </c>
    </row>
    <row r="248" spans="1:5" x14ac:dyDescent="0.25">
      <c r="A248" s="3">
        <v>45199</v>
      </c>
      <c r="B248">
        <v>0</v>
      </c>
      <c r="E248">
        <f t="shared" si="3"/>
        <v>0</v>
      </c>
    </row>
    <row r="249" spans="1:5" x14ac:dyDescent="0.25">
      <c r="A249" s="3">
        <v>45200</v>
      </c>
      <c r="B249">
        <v>0</v>
      </c>
      <c r="E249">
        <f t="shared" si="3"/>
        <v>0</v>
      </c>
    </row>
    <row r="250" spans="1:5" x14ac:dyDescent="0.25">
      <c r="A250" s="3">
        <v>45201</v>
      </c>
      <c r="B250">
        <v>0</v>
      </c>
      <c r="E250">
        <f t="shared" si="3"/>
        <v>0</v>
      </c>
    </row>
    <row r="251" spans="1:5" x14ac:dyDescent="0.25">
      <c r="A251" s="3">
        <v>45202</v>
      </c>
      <c r="B251">
        <v>0</v>
      </c>
      <c r="E251">
        <f t="shared" si="3"/>
        <v>0</v>
      </c>
    </row>
    <row r="252" spans="1:5" x14ac:dyDescent="0.25">
      <c r="A252" s="3">
        <v>45203</v>
      </c>
      <c r="B252">
        <v>0</v>
      </c>
      <c r="E252">
        <f t="shared" si="3"/>
        <v>0</v>
      </c>
    </row>
    <row r="253" spans="1:5" x14ac:dyDescent="0.25">
      <c r="A253" s="3">
        <v>45204</v>
      </c>
      <c r="B253">
        <v>0</v>
      </c>
      <c r="E253">
        <f t="shared" si="3"/>
        <v>0</v>
      </c>
    </row>
    <row r="254" spans="1:5" x14ac:dyDescent="0.25">
      <c r="A254" s="3">
        <v>45205</v>
      </c>
      <c r="B254">
        <v>0</v>
      </c>
      <c r="E254">
        <f t="shared" si="3"/>
        <v>0</v>
      </c>
    </row>
    <row r="255" spans="1:5" x14ac:dyDescent="0.25">
      <c r="A255" s="3">
        <v>45206</v>
      </c>
      <c r="B255">
        <v>0</v>
      </c>
      <c r="E255">
        <f t="shared" si="3"/>
        <v>0</v>
      </c>
    </row>
    <row r="256" spans="1:5" x14ac:dyDescent="0.25">
      <c r="A256" s="3">
        <v>45207</v>
      </c>
      <c r="B256">
        <v>0</v>
      </c>
      <c r="E256">
        <f t="shared" si="3"/>
        <v>0</v>
      </c>
    </row>
    <row r="257" spans="1:5" x14ac:dyDescent="0.25">
      <c r="A257" s="3">
        <v>45208</v>
      </c>
      <c r="B257">
        <v>0</v>
      </c>
      <c r="E257">
        <f t="shared" si="3"/>
        <v>0</v>
      </c>
    </row>
    <row r="258" spans="1:5" x14ac:dyDescent="0.25">
      <c r="A258" s="3">
        <v>45209</v>
      </c>
      <c r="B258">
        <v>0</v>
      </c>
      <c r="E258">
        <f t="shared" ref="E258:E321" si="4">0*(20/7)</f>
        <v>0</v>
      </c>
    </row>
    <row r="259" spans="1:5" x14ac:dyDescent="0.25">
      <c r="A259" s="3">
        <v>45210</v>
      </c>
      <c r="B259">
        <v>0</v>
      </c>
      <c r="E259">
        <f t="shared" si="4"/>
        <v>0</v>
      </c>
    </row>
    <row r="260" spans="1:5" x14ac:dyDescent="0.25">
      <c r="A260" s="3">
        <v>45211</v>
      </c>
      <c r="B260">
        <v>0</v>
      </c>
      <c r="E260">
        <f t="shared" si="4"/>
        <v>0</v>
      </c>
    </row>
    <row r="261" spans="1:5" x14ac:dyDescent="0.25">
      <c r="A261" s="3">
        <v>45212</v>
      </c>
      <c r="B261">
        <v>0</v>
      </c>
      <c r="E261">
        <f t="shared" si="4"/>
        <v>0</v>
      </c>
    </row>
    <row r="262" spans="1:5" x14ac:dyDescent="0.25">
      <c r="A262" s="3">
        <v>45213</v>
      </c>
      <c r="B262">
        <v>0</v>
      </c>
      <c r="E262">
        <f t="shared" si="4"/>
        <v>0</v>
      </c>
    </row>
    <row r="263" spans="1:5" x14ac:dyDescent="0.25">
      <c r="A263" s="3">
        <v>45214</v>
      </c>
      <c r="B263">
        <v>0</v>
      </c>
      <c r="E263">
        <f t="shared" si="4"/>
        <v>0</v>
      </c>
    </row>
    <row r="264" spans="1:5" x14ac:dyDescent="0.25">
      <c r="A264" s="3">
        <v>45215</v>
      </c>
      <c r="B264">
        <v>0</v>
      </c>
      <c r="E264">
        <f t="shared" si="4"/>
        <v>0</v>
      </c>
    </row>
    <row r="265" spans="1:5" x14ac:dyDescent="0.25">
      <c r="A265" s="3">
        <v>45216</v>
      </c>
      <c r="B265">
        <v>0</v>
      </c>
      <c r="E265">
        <f t="shared" si="4"/>
        <v>0</v>
      </c>
    </row>
    <row r="266" spans="1:5" x14ac:dyDescent="0.25">
      <c r="A266" s="3">
        <v>45217</v>
      </c>
      <c r="B266">
        <v>0</v>
      </c>
      <c r="E266">
        <f t="shared" si="4"/>
        <v>0</v>
      </c>
    </row>
    <row r="267" spans="1:5" x14ac:dyDescent="0.25">
      <c r="A267" s="3">
        <v>45218</v>
      </c>
      <c r="B267">
        <v>0</v>
      </c>
      <c r="E267">
        <f t="shared" si="4"/>
        <v>0</v>
      </c>
    </row>
    <row r="268" spans="1:5" x14ac:dyDescent="0.25">
      <c r="A268" s="3">
        <v>45219</v>
      </c>
      <c r="B268">
        <v>0</v>
      </c>
      <c r="E268">
        <f t="shared" si="4"/>
        <v>0</v>
      </c>
    </row>
    <row r="269" spans="1:5" x14ac:dyDescent="0.25">
      <c r="A269" s="3">
        <v>45220</v>
      </c>
      <c r="B269">
        <v>0</v>
      </c>
      <c r="E269">
        <f t="shared" si="4"/>
        <v>0</v>
      </c>
    </row>
    <row r="270" spans="1:5" x14ac:dyDescent="0.25">
      <c r="A270" s="3">
        <v>45221</v>
      </c>
      <c r="B270">
        <v>0</v>
      </c>
      <c r="E270">
        <f t="shared" si="4"/>
        <v>0</v>
      </c>
    </row>
    <row r="271" spans="1:5" x14ac:dyDescent="0.25">
      <c r="A271" s="3">
        <v>45222</v>
      </c>
      <c r="B271">
        <v>0</v>
      </c>
      <c r="E271">
        <f t="shared" si="4"/>
        <v>0</v>
      </c>
    </row>
    <row r="272" spans="1:5" x14ac:dyDescent="0.25">
      <c r="A272" s="3">
        <v>45223</v>
      </c>
      <c r="B272">
        <v>0</v>
      </c>
      <c r="E272">
        <f t="shared" si="4"/>
        <v>0</v>
      </c>
    </row>
    <row r="273" spans="1:5" x14ac:dyDescent="0.25">
      <c r="A273" s="3">
        <v>45224</v>
      </c>
      <c r="B273">
        <v>0</v>
      </c>
      <c r="E273">
        <f t="shared" si="4"/>
        <v>0</v>
      </c>
    </row>
    <row r="274" spans="1:5" x14ac:dyDescent="0.25">
      <c r="A274" s="3">
        <v>45225</v>
      </c>
      <c r="B274">
        <v>0</v>
      </c>
      <c r="E274">
        <f t="shared" si="4"/>
        <v>0</v>
      </c>
    </row>
    <row r="275" spans="1:5" x14ac:dyDescent="0.25">
      <c r="A275" s="3">
        <v>45226</v>
      </c>
      <c r="B275">
        <v>0</v>
      </c>
      <c r="E275">
        <f t="shared" si="4"/>
        <v>0</v>
      </c>
    </row>
    <row r="276" spans="1:5" x14ac:dyDescent="0.25">
      <c r="A276" s="3">
        <v>45227</v>
      </c>
      <c r="B276">
        <v>0</v>
      </c>
      <c r="E276">
        <f t="shared" si="4"/>
        <v>0</v>
      </c>
    </row>
    <row r="277" spans="1:5" x14ac:dyDescent="0.25">
      <c r="A277" s="3">
        <v>45228</v>
      </c>
      <c r="B277">
        <v>0</v>
      </c>
      <c r="E277">
        <f t="shared" si="4"/>
        <v>0</v>
      </c>
    </row>
    <row r="278" spans="1:5" x14ac:dyDescent="0.25">
      <c r="A278" s="3">
        <v>45229</v>
      </c>
      <c r="B278">
        <v>0</v>
      </c>
      <c r="E278">
        <f t="shared" si="4"/>
        <v>0</v>
      </c>
    </row>
    <row r="279" spans="1:5" x14ac:dyDescent="0.25">
      <c r="A279" s="3">
        <v>45230</v>
      </c>
      <c r="B279">
        <v>0</v>
      </c>
      <c r="E279">
        <f t="shared" si="4"/>
        <v>0</v>
      </c>
    </row>
    <row r="280" spans="1:5" x14ac:dyDescent="0.25">
      <c r="A280" s="3">
        <v>45231</v>
      </c>
      <c r="B280">
        <v>0</v>
      </c>
      <c r="E280">
        <f t="shared" si="4"/>
        <v>0</v>
      </c>
    </row>
    <row r="281" spans="1:5" x14ac:dyDescent="0.25">
      <c r="A281" s="3">
        <v>45232</v>
      </c>
      <c r="B281">
        <v>0</v>
      </c>
      <c r="E281">
        <f t="shared" si="4"/>
        <v>0</v>
      </c>
    </row>
    <row r="282" spans="1:5" x14ac:dyDescent="0.25">
      <c r="A282" s="3">
        <v>45233</v>
      </c>
      <c r="B282">
        <v>0</v>
      </c>
      <c r="E282">
        <f t="shared" si="4"/>
        <v>0</v>
      </c>
    </row>
    <row r="283" spans="1:5" x14ac:dyDescent="0.25">
      <c r="A283" s="3">
        <v>45234</v>
      </c>
      <c r="B283">
        <v>0</v>
      </c>
      <c r="E283">
        <f t="shared" si="4"/>
        <v>0</v>
      </c>
    </row>
    <row r="284" spans="1:5" x14ac:dyDescent="0.25">
      <c r="A284" s="3">
        <v>45235</v>
      </c>
      <c r="B284">
        <v>0</v>
      </c>
      <c r="E284">
        <f t="shared" si="4"/>
        <v>0</v>
      </c>
    </row>
    <row r="285" spans="1:5" x14ac:dyDescent="0.25">
      <c r="A285" s="3">
        <v>45236</v>
      </c>
      <c r="B285">
        <v>0</v>
      </c>
      <c r="E285">
        <f t="shared" si="4"/>
        <v>0</v>
      </c>
    </row>
    <row r="286" spans="1:5" x14ac:dyDescent="0.25">
      <c r="A286" s="3">
        <v>45237</v>
      </c>
      <c r="B286">
        <v>0</v>
      </c>
      <c r="E286">
        <f t="shared" si="4"/>
        <v>0</v>
      </c>
    </row>
    <row r="287" spans="1:5" x14ac:dyDescent="0.25">
      <c r="A287" s="3">
        <v>45238</v>
      </c>
      <c r="B287">
        <v>0</v>
      </c>
      <c r="E287">
        <f t="shared" si="4"/>
        <v>0</v>
      </c>
    </row>
    <row r="288" spans="1:5" x14ac:dyDescent="0.25">
      <c r="A288" s="3">
        <v>45239</v>
      </c>
      <c r="B288">
        <v>0</v>
      </c>
      <c r="E288">
        <f t="shared" si="4"/>
        <v>0</v>
      </c>
    </row>
    <row r="289" spans="1:5" x14ac:dyDescent="0.25">
      <c r="A289" s="3">
        <v>45240</v>
      </c>
      <c r="B289">
        <v>0</v>
      </c>
      <c r="E289">
        <f t="shared" si="4"/>
        <v>0</v>
      </c>
    </row>
    <row r="290" spans="1:5" x14ac:dyDescent="0.25">
      <c r="A290" s="3">
        <v>45241</v>
      </c>
      <c r="B290">
        <v>0</v>
      </c>
      <c r="E290">
        <f t="shared" si="4"/>
        <v>0</v>
      </c>
    </row>
    <row r="291" spans="1:5" x14ac:dyDescent="0.25">
      <c r="A291" s="3">
        <v>45242</v>
      </c>
      <c r="B291">
        <v>0</v>
      </c>
      <c r="E291">
        <f t="shared" si="4"/>
        <v>0</v>
      </c>
    </row>
    <row r="292" spans="1:5" x14ac:dyDescent="0.25">
      <c r="A292" s="3">
        <v>45243</v>
      </c>
      <c r="B292">
        <v>0</v>
      </c>
      <c r="E292">
        <f t="shared" si="4"/>
        <v>0</v>
      </c>
    </row>
    <row r="293" spans="1:5" x14ac:dyDescent="0.25">
      <c r="A293" s="3">
        <v>45244</v>
      </c>
      <c r="B293">
        <v>0</v>
      </c>
      <c r="E293">
        <f t="shared" si="4"/>
        <v>0</v>
      </c>
    </row>
    <row r="294" spans="1:5" x14ac:dyDescent="0.25">
      <c r="A294" s="3">
        <v>45245</v>
      </c>
      <c r="B294">
        <v>0</v>
      </c>
      <c r="E294">
        <f t="shared" si="4"/>
        <v>0</v>
      </c>
    </row>
    <row r="295" spans="1:5" x14ac:dyDescent="0.25">
      <c r="A295" s="3">
        <v>45246</v>
      </c>
      <c r="B295">
        <v>0</v>
      </c>
      <c r="E295">
        <f t="shared" si="4"/>
        <v>0</v>
      </c>
    </row>
    <row r="296" spans="1:5" x14ac:dyDescent="0.25">
      <c r="A296" s="3">
        <v>45247</v>
      </c>
      <c r="B296">
        <v>0</v>
      </c>
      <c r="E296">
        <f t="shared" si="4"/>
        <v>0</v>
      </c>
    </row>
    <row r="297" spans="1:5" x14ac:dyDescent="0.25">
      <c r="A297" s="3">
        <v>45248</v>
      </c>
      <c r="B297">
        <v>0</v>
      </c>
      <c r="E297">
        <f t="shared" si="4"/>
        <v>0</v>
      </c>
    </row>
    <row r="298" spans="1:5" x14ac:dyDescent="0.25">
      <c r="A298" s="3">
        <v>45249</v>
      </c>
      <c r="B298">
        <v>0</v>
      </c>
      <c r="E298">
        <f t="shared" si="4"/>
        <v>0</v>
      </c>
    </row>
    <row r="299" spans="1:5" x14ac:dyDescent="0.25">
      <c r="A299" s="3">
        <v>45250</v>
      </c>
      <c r="B299">
        <v>0</v>
      </c>
      <c r="E299">
        <f t="shared" si="4"/>
        <v>0</v>
      </c>
    </row>
    <row r="300" spans="1:5" x14ac:dyDescent="0.25">
      <c r="A300" s="3">
        <v>45251</v>
      </c>
      <c r="B300">
        <v>0</v>
      </c>
      <c r="E300">
        <f t="shared" si="4"/>
        <v>0</v>
      </c>
    </row>
    <row r="301" spans="1:5" x14ac:dyDescent="0.25">
      <c r="A301" s="3">
        <v>45252</v>
      </c>
      <c r="B301">
        <v>0</v>
      </c>
      <c r="E301">
        <f t="shared" si="4"/>
        <v>0</v>
      </c>
    </row>
    <row r="302" spans="1:5" x14ac:dyDescent="0.25">
      <c r="A302" s="3">
        <v>45253</v>
      </c>
      <c r="B302">
        <v>0</v>
      </c>
      <c r="E302">
        <f t="shared" si="4"/>
        <v>0</v>
      </c>
    </row>
    <row r="303" spans="1:5" x14ac:dyDescent="0.25">
      <c r="A303" s="3">
        <v>45254</v>
      </c>
      <c r="B303">
        <v>0</v>
      </c>
      <c r="E303">
        <f t="shared" si="4"/>
        <v>0</v>
      </c>
    </row>
    <row r="304" spans="1:5" x14ac:dyDescent="0.25">
      <c r="A304" s="3">
        <v>45255</v>
      </c>
      <c r="B304">
        <v>0</v>
      </c>
      <c r="E304">
        <f t="shared" si="4"/>
        <v>0</v>
      </c>
    </row>
    <row r="305" spans="1:5" x14ac:dyDescent="0.25">
      <c r="A305" s="3">
        <v>45256</v>
      </c>
      <c r="B305">
        <v>0</v>
      </c>
      <c r="E305">
        <f t="shared" si="4"/>
        <v>0</v>
      </c>
    </row>
    <row r="306" spans="1:5" x14ac:dyDescent="0.25">
      <c r="A306" s="3">
        <v>45257</v>
      </c>
      <c r="B306">
        <v>0</v>
      </c>
      <c r="E306">
        <f t="shared" si="4"/>
        <v>0</v>
      </c>
    </row>
    <row r="307" spans="1:5" x14ac:dyDescent="0.25">
      <c r="A307" s="3">
        <v>45258</v>
      </c>
      <c r="B307">
        <v>0</v>
      </c>
      <c r="E307">
        <f t="shared" si="4"/>
        <v>0</v>
      </c>
    </row>
    <row r="308" spans="1:5" x14ac:dyDescent="0.25">
      <c r="A308" s="3">
        <v>45259</v>
      </c>
      <c r="B308">
        <v>0</v>
      </c>
      <c r="E308">
        <f t="shared" si="4"/>
        <v>0</v>
      </c>
    </row>
    <row r="309" spans="1:5" x14ac:dyDescent="0.25">
      <c r="A309" s="3">
        <v>45260</v>
      </c>
      <c r="B309">
        <v>0</v>
      </c>
      <c r="E309">
        <f t="shared" si="4"/>
        <v>0</v>
      </c>
    </row>
    <row r="310" spans="1:5" x14ac:dyDescent="0.25">
      <c r="A310" s="3">
        <v>45261</v>
      </c>
      <c r="B310">
        <v>0</v>
      </c>
      <c r="E310">
        <f t="shared" si="4"/>
        <v>0</v>
      </c>
    </row>
    <row r="311" spans="1:5" x14ac:dyDescent="0.25">
      <c r="A311" s="3">
        <v>45262</v>
      </c>
      <c r="B311">
        <v>0</v>
      </c>
      <c r="E311">
        <f t="shared" si="4"/>
        <v>0</v>
      </c>
    </row>
    <row r="312" spans="1:5" x14ac:dyDescent="0.25">
      <c r="A312" s="3">
        <v>45263</v>
      </c>
      <c r="B312">
        <v>0</v>
      </c>
      <c r="E312">
        <f t="shared" si="4"/>
        <v>0</v>
      </c>
    </row>
    <row r="313" spans="1:5" x14ac:dyDescent="0.25">
      <c r="A313" s="3">
        <v>45264</v>
      </c>
      <c r="B313">
        <v>0</v>
      </c>
      <c r="E313">
        <f t="shared" si="4"/>
        <v>0</v>
      </c>
    </row>
    <row r="314" spans="1:5" x14ac:dyDescent="0.25">
      <c r="A314" s="3">
        <v>45265</v>
      </c>
      <c r="B314">
        <v>0</v>
      </c>
      <c r="E314">
        <f t="shared" si="4"/>
        <v>0</v>
      </c>
    </row>
    <row r="315" spans="1:5" x14ac:dyDescent="0.25">
      <c r="A315" s="3">
        <v>45266</v>
      </c>
      <c r="B315">
        <v>0</v>
      </c>
      <c r="E315">
        <f t="shared" si="4"/>
        <v>0</v>
      </c>
    </row>
    <row r="316" spans="1:5" x14ac:dyDescent="0.25">
      <c r="A316" s="3">
        <v>45267</v>
      </c>
      <c r="B316">
        <v>0</v>
      </c>
      <c r="E316">
        <f t="shared" si="4"/>
        <v>0</v>
      </c>
    </row>
    <row r="317" spans="1:5" x14ac:dyDescent="0.25">
      <c r="A317" s="3">
        <v>45268</v>
      </c>
      <c r="B317">
        <v>0</v>
      </c>
      <c r="E317">
        <f t="shared" si="4"/>
        <v>0</v>
      </c>
    </row>
    <row r="318" spans="1:5" x14ac:dyDescent="0.25">
      <c r="A318" s="3">
        <v>45269</v>
      </c>
      <c r="B318">
        <v>0</v>
      </c>
      <c r="E318">
        <f t="shared" si="4"/>
        <v>0</v>
      </c>
    </row>
    <row r="319" spans="1:5" x14ac:dyDescent="0.25">
      <c r="A319" s="3">
        <v>45270</v>
      </c>
      <c r="B319">
        <v>0</v>
      </c>
      <c r="E319">
        <f t="shared" si="4"/>
        <v>0</v>
      </c>
    </row>
    <row r="320" spans="1:5" x14ac:dyDescent="0.25">
      <c r="A320" s="3">
        <v>45271</v>
      </c>
      <c r="B320">
        <v>0</v>
      </c>
      <c r="E320">
        <f t="shared" si="4"/>
        <v>0</v>
      </c>
    </row>
    <row r="321" spans="1:5" x14ac:dyDescent="0.25">
      <c r="A321" s="3">
        <v>45272</v>
      </c>
      <c r="B321">
        <v>0</v>
      </c>
      <c r="E321">
        <f t="shared" si="4"/>
        <v>0</v>
      </c>
    </row>
    <row r="322" spans="1:5" x14ac:dyDescent="0.25">
      <c r="A322" s="3">
        <v>45273</v>
      </c>
      <c r="B322">
        <v>0</v>
      </c>
      <c r="E322">
        <f t="shared" ref="E322:P683" si="5">0*(20/7)</f>
        <v>0</v>
      </c>
    </row>
    <row r="323" spans="1:5" x14ac:dyDescent="0.25">
      <c r="A323" s="3">
        <v>45274</v>
      </c>
      <c r="B323">
        <v>0</v>
      </c>
      <c r="E323">
        <f t="shared" si="5"/>
        <v>0</v>
      </c>
    </row>
    <row r="324" spans="1:5" x14ac:dyDescent="0.25">
      <c r="A324" s="3">
        <v>45275</v>
      </c>
      <c r="B324">
        <v>0</v>
      </c>
      <c r="E324">
        <f t="shared" si="5"/>
        <v>0</v>
      </c>
    </row>
    <row r="325" spans="1:5" x14ac:dyDescent="0.25">
      <c r="A325" s="3">
        <v>45276</v>
      </c>
      <c r="B325">
        <v>0</v>
      </c>
      <c r="E325">
        <f t="shared" si="5"/>
        <v>0</v>
      </c>
    </row>
    <row r="326" spans="1:5" x14ac:dyDescent="0.25">
      <c r="A326" s="3">
        <v>45277</v>
      </c>
      <c r="B326">
        <v>0</v>
      </c>
      <c r="E326">
        <f t="shared" si="5"/>
        <v>0</v>
      </c>
    </row>
    <row r="327" spans="1:5" x14ac:dyDescent="0.25">
      <c r="A327" s="3">
        <v>45278</v>
      </c>
      <c r="B327">
        <v>0</v>
      </c>
      <c r="E327">
        <f t="shared" si="5"/>
        <v>0</v>
      </c>
    </row>
    <row r="328" spans="1:5" x14ac:dyDescent="0.25">
      <c r="A328" s="3">
        <v>45279</v>
      </c>
      <c r="B328">
        <v>0</v>
      </c>
      <c r="E328">
        <f t="shared" si="5"/>
        <v>0</v>
      </c>
    </row>
    <row r="329" spans="1:5" x14ac:dyDescent="0.25">
      <c r="A329" s="3">
        <v>45280</v>
      </c>
      <c r="B329">
        <v>0</v>
      </c>
      <c r="E329">
        <f t="shared" si="5"/>
        <v>0</v>
      </c>
    </row>
    <row r="330" spans="1:5" x14ac:dyDescent="0.25">
      <c r="A330" s="3">
        <v>45281</v>
      </c>
      <c r="B330">
        <v>0</v>
      </c>
      <c r="E330">
        <f t="shared" si="5"/>
        <v>0</v>
      </c>
    </row>
    <row r="331" spans="1:5" x14ac:dyDescent="0.25">
      <c r="A331" s="3">
        <v>45282</v>
      </c>
      <c r="B331">
        <v>0</v>
      </c>
      <c r="E331">
        <f t="shared" si="5"/>
        <v>0</v>
      </c>
    </row>
    <row r="332" spans="1:5" x14ac:dyDescent="0.25">
      <c r="A332" s="3">
        <v>45283</v>
      </c>
      <c r="B332">
        <v>0</v>
      </c>
      <c r="E332">
        <f t="shared" si="5"/>
        <v>0</v>
      </c>
    </row>
    <row r="333" spans="1:5" x14ac:dyDescent="0.25">
      <c r="A333" s="3">
        <v>45284</v>
      </c>
      <c r="B333">
        <v>0</v>
      </c>
      <c r="E333">
        <f t="shared" si="5"/>
        <v>0</v>
      </c>
    </row>
    <row r="334" spans="1:5" x14ac:dyDescent="0.25">
      <c r="A334" s="3">
        <v>45285</v>
      </c>
      <c r="B334">
        <v>0</v>
      </c>
      <c r="E334">
        <f t="shared" si="5"/>
        <v>0</v>
      </c>
    </row>
    <row r="335" spans="1:5" x14ac:dyDescent="0.25">
      <c r="A335" s="3">
        <v>45286</v>
      </c>
      <c r="B335">
        <v>0</v>
      </c>
      <c r="E335">
        <f t="shared" si="5"/>
        <v>0</v>
      </c>
    </row>
    <row r="336" spans="1:5" x14ac:dyDescent="0.25">
      <c r="A336" s="3">
        <v>45287</v>
      </c>
      <c r="B336">
        <v>0</v>
      </c>
      <c r="E336">
        <f t="shared" si="5"/>
        <v>0</v>
      </c>
    </row>
    <row r="337" spans="1:12" x14ac:dyDescent="0.25">
      <c r="A337" s="3">
        <v>45288</v>
      </c>
      <c r="B337">
        <v>0</v>
      </c>
      <c r="E337">
        <f t="shared" si="5"/>
        <v>0</v>
      </c>
    </row>
    <row r="338" spans="1:12" x14ac:dyDescent="0.25">
      <c r="A338" s="3">
        <v>45289</v>
      </c>
      <c r="B338">
        <v>0</v>
      </c>
      <c r="E338">
        <f t="shared" si="5"/>
        <v>0</v>
      </c>
    </row>
    <row r="339" spans="1:12" x14ac:dyDescent="0.25">
      <c r="A339" s="3">
        <v>45290</v>
      </c>
      <c r="B339">
        <v>0</v>
      </c>
      <c r="E339">
        <f t="shared" si="5"/>
        <v>0</v>
      </c>
    </row>
    <row r="340" spans="1:12" x14ac:dyDescent="0.25">
      <c r="A340" s="3">
        <v>45291</v>
      </c>
      <c r="B340">
        <v>0</v>
      </c>
      <c r="E340">
        <f t="shared" si="5"/>
        <v>0</v>
      </c>
    </row>
    <row r="341" spans="1:12" x14ac:dyDescent="0.25">
      <c r="A341" s="3">
        <v>45292</v>
      </c>
      <c r="B341">
        <v>0</v>
      </c>
      <c r="E341">
        <f t="shared" si="5"/>
        <v>0</v>
      </c>
    </row>
    <row r="342" spans="1:12" x14ac:dyDescent="0.25">
      <c r="A342" s="3">
        <v>45293</v>
      </c>
      <c r="B342">
        <v>0</v>
      </c>
      <c r="E342">
        <f t="shared" si="5"/>
        <v>0</v>
      </c>
    </row>
    <row r="343" spans="1:12" x14ac:dyDescent="0.25">
      <c r="A343" s="3">
        <v>45294</v>
      </c>
      <c r="B343">
        <v>0</v>
      </c>
      <c r="E343">
        <f t="shared" si="5"/>
        <v>0</v>
      </c>
    </row>
    <row r="344" spans="1:12" x14ac:dyDescent="0.25">
      <c r="A344" s="3">
        <v>45295</v>
      </c>
      <c r="B344">
        <v>0</v>
      </c>
      <c r="E344">
        <f t="shared" si="5"/>
        <v>0</v>
      </c>
    </row>
    <row r="345" spans="1:12" x14ac:dyDescent="0.25">
      <c r="A345" s="3">
        <v>45296</v>
      </c>
      <c r="B345">
        <v>0</v>
      </c>
      <c r="E345">
        <f t="shared" si="5"/>
        <v>0</v>
      </c>
    </row>
    <row r="346" spans="1:12" x14ac:dyDescent="0.25">
      <c r="A346" s="3">
        <v>45297</v>
      </c>
      <c r="B346">
        <v>0</v>
      </c>
      <c r="E346">
        <f t="shared" si="5"/>
        <v>0</v>
      </c>
    </row>
    <row r="347" spans="1:12" x14ac:dyDescent="0.25">
      <c r="A347" s="3">
        <v>45298</v>
      </c>
      <c r="B347">
        <v>0</v>
      </c>
      <c r="E347">
        <f t="shared" si="5"/>
        <v>0</v>
      </c>
    </row>
    <row r="348" spans="1:12" x14ac:dyDescent="0.25">
      <c r="A348" s="3">
        <v>45299</v>
      </c>
      <c r="B348">
        <v>0</v>
      </c>
      <c r="E348">
        <f t="shared" si="5"/>
        <v>0</v>
      </c>
    </row>
    <row r="349" spans="1:12" x14ac:dyDescent="0.25">
      <c r="A349" s="3">
        <v>45300</v>
      </c>
      <c r="B349">
        <v>0</v>
      </c>
      <c r="E349">
        <f t="shared" si="5"/>
        <v>0</v>
      </c>
    </row>
    <row r="350" spans="1:12" x14ac:dyDescent="0.25">
      <c r="A350" s="3">
        <v>45301</v>
      </c>
      <c r="B350">
        <v>0</v>
      </c>
      <c r="E350">
        <f t="shared" si="5"/>
        <v>0</v>
      </c>
    </row>
    <row r="351" spans="1:12" x14ac:dyDescent="0.25">
      <c r="A351" s="3">
        <v>45302</v>
      </c>
      <c r="B351">
        <v>0</v>
      </c>
      <c r="E351">
        <f t="shared" si="5"/>
        <v>0</v>
      </c>
      <c r="L351"/>
    </row>
    <row r="352" spans="1:12" x14ac:dyDescent="0.25">
      <c r="A352" s="3">
        <v>45303</v>
      </c>
      <c r="B352">
        <v>0</v>
      </c>
      <c r="E352">
        <v>0</v>
      </c>
    </row>
    <row r="353" spans="1:5" x14ac:dyDescent="0.25">
      <c r="A353" s="3">
        <v>45304</v>
      </c>
      <c r="B353">
        <v>0</v>
      </c>
      <c r="E353">
        <v>0</v>
      </c>
    </row>
    <row r="354" spans="1:5" x14ac:dyDescent="0.25">
      <c r="A354" s="3">
        <v>45305</v>
      </c>
      <c r="B354">
        <v>0</v>
      </c>
      <c r="E354">
        <v>0</v>
      </c>
    </row>
    <row r="355" spans="1:5" x14ac:dyDescent="0.25">
      <c r="A355" s="3">
        <v>45306</v>
      </c>
      <c r="B355">
        <v>0</v>
      </c>
      <c r="E355">
        <v>0</v>
      </c>
    </row>
    <row r="356" spans="1:5" x14ac:dyDescent="0.25">
      <c r="A356" s="3">
        <v>45307</v>
      </c>
      <c r="B356">
        <v>0</v>
      </c>
      <c r="E356">
        <v>0</v>
      </c>
    </row>
    <row r="357" spans="1:5" x14ac:dyDescent="0.25">
      <c r="A357" s="3">
        <v>45308</v>
      </c>
      <c r="B357">
        <v>0</v>
      </c>
      <c r="E357">
        <v>0</v>
      </c>
    </row>
    <row r="358" spans="1:5" x14ac:dyDescent="0.25">
      <c r="A358" s="3">
        <v>45309</v>
      </c>
      <c r="B358">
        <v>0</v>
      </c>
      <c r="E358">
        <v>0</v>
      </c>
    </row>
    <row r="359" spans="1:5" x14ac:dyDescent="0.25">
      <c r="A359" s="3">
        <v>45310</v>
      </c>
      <c r="B359">
        <v>0</v>
      </c>
      <c r="E359">
        <v>0</v>
      </c>
    </row>
    <row r="360" spans="1:5" x14ac:dyDescent="0.25">
      <c r="A360" s="3">
        <v>45311</v>
      </c>
      <c r="B360">
        <v>0</v>
      </c>
      <c r="E360">
        <v>0</v>
      </c>
    </row>
    <row r="361" spans="1:5" x14ac:dyDescent="0.25">
      <c r="A361" s="3">
        <v>45312</v>
      </c>
      <c r="B361">
        <v>0</v>
      </c>
      <c r="E361">
        <v>0</v>
      </c>
    </row>
    <row r="362" spans="1:5" x14ac:dyDescent="0.25">
      <c r="A362" s="3">
        <v>45313</v>
      </c>
      <c r="B362">
        <v>0</v>
      </c>
      <c r="E362">
        <v>0</v>
      </c>
    </row>
    <row r="363" spans="1:5" x14ac:dyDescent="0.25">
      <c r="A363" s="3">
        <v>45314</v>
      </c>
      <c r="B363">
        <v>0</v>
      </c>
      <c r="E363">
        <v>0</v>
      </c>
    </row>
    <row r="364" spans="1:5" x14ac:dyDescent="0.25">
      <c r="A364" s="3">
        <v>45315</v>
      </c>
      <c r="B364">
        <v>0</v>
      </c>
      <c r="E364">
        <v>0</v>
      </c>
    </row>
    <row r="365" spans="1:5" x14ac:dyDescent="0.25">
      <c r="A365" s="3">
        <v>45316</v>
      </c>
      <c r="B365">
        <v>0</v>
      </c>
      <c r="E365">
        <v>0</v>
      </c>
    </row>
    <row r="366" spans="1:5" x14ac:dyDescent="0.25">
      <c r="A366" s="3">
        <v>45317</v>
      </c>
      <c r="B366">
        <v>0</v>
      </c>
      <c r="E366">
        <v>0</v>
      </c>
    </row>
    <row r="367" spans="1:5" x14ac:dyDescent="0.25">
      <c r="A367" s="3">
        <v>45318</v>
      </c>
      <c r="B367">
        <v>0</v>
      </c>
      <c r="E367">
        <v>0</v>
      </c>
    </row>
    <row r="368" spans="1:5" x14ac:dyDescent="0.25">
      <c r="A368" s="3">
        <v>45319</v>
      </c>
      <c r="B368">
        <v>0</v>
      </c>
      <c r="E368">
        <v>0</v>
      </c>
    </row>
    <row r="369" spans="1:5" x14ac:dyDescent="0.25">
      <c r="A369" s="3">
        <v>45320</v>
      </c>
      <c r="B369">
        <v>0</v>
      </c>
      <c r="E369">
        <v>0</v>
      </c>
    </row>
    <row r="370" spans="1:5" x14ac:dyDescent="0.25">
      <c r="A370" s="3">
        <v>45321</v>
      </c>
      <c r="B370">
        <v>0</v>
      </c>
      <c r="E370">
        <v>0</v>
      </c>
    </row>
    <row r="371" spans="1:5" x14ac:dyDescent="0.25">
      <c r="A371" s="3">
        <v>45322</v>
      </c>
      <c r="B371">
        <v>0</v>
      </c>
      <c r="E371">
        <v>0</v>
      </c>
    </row>
    <row r="372" spans="1:5" x14ac:dyDescent="0.25">
      <c r="A372" s="3">
        <v>45323</v>
      </c>
      <c r="B372">
        <v>0</v>
      </c>
      <c r="E372">
        <v>0</v>
      </c>
    </row>
    <row r="373" spans="1:5" x14ac:dyDescent="0.25">
      <c r="A373" s="3">
        <v>45324</v>
      </c>
      <c r="B373">
        <v>0</v>
      </c>
      <c r="E373">
        <v>0</v>
      </c>
    </row>
    <row r="374" spans="1:5" x14ac:dyDescent="0.25">
      <c r="A374" s="3">
        <v>45325</v>
      </c>
      <c r="B374">
        <v>0</v>
      </c>
      <c r="E374">
        <v>0</v>
      </c>
    </row>
    <row r="375" spans="1:5" x14ac:dyDescent="0.25">
      <c r="A375" s="3">
        <v>45326</v>
      </c>
      <c r="B375">
        <v>0</v>
      </c>
      <c r="E375">
        <v>0</v>
      </c>
    </row>
    <row r="376" spans="1:5" x14ac:dyDescent="0.25">
      <c r="A376" s="3">
        <v>45327</v>
      </c>
      <c r="B376">
        <v>0</v>
      </c>
      <c r="E376">
        <v>0</v>
      </c>
    </row>
    <row r="377" spans="1:5" x14ac:dyDescent="0.25">
      <c r="A377" s="3">
        <v>45328</v>
      </c>
      <c r="B377">
        <v>0</v>
      </c>
      <c r="E377">
        <v>0</v>
      </c>
    </row>
    <row r="378" spans="1:5" x14ac:dyDescent="0.25">
      <c r="A378" s="3">
        <v>45329</v>
      </c>
      <c r="B378">
        <v>0</v>
      </c>
      <c r="E378">
        <v>0</v>
      </c>
    </row>
    <row r="379" spans="1:5" x14ac:dyDescent="0.25">
      <c r="A379" s="3">
        <v>45330</v>
      </c>
      <c r="B379">
        <v>0</v>
      </c>
      <c r="E379">
        <v>0</v>
      </c>
    </row>
    <row r="380" spans="1:5" x14ac:dyDescent="0.25">
      <c r="A380" s="3">
        <v>45331</v>
      </c>
      <c r="B380">
        <v>0</v>
      </c>
      <c r="E380">
        <v>0</v>
      </c>
    </row>
    <row r="381" spans="1:5" x14ac:dyDescent="0.25">
      <c r="A381" s="3">
        <v>45332</v>
      </c>
      <c r="B381">
        <v>0</v>
      </c>
      <c r="E381">
        <v>0</v>
      </c>
    </row>
    <row r="382" spans="1:5" x14ac:dyDescent="0.25">
      <c r="A382" s="3">
        <v>45333</v>
      </c>
      <c r="B382">
        <v>0</v>
      </c>
      <c r="E382">
        <v>0</v>
      </c>
    </row>
    <row r="383" spans="1:5" x14ac:dyDescent="0.25">
      <c r="A383" s="3">
        <v>45334</v>
      </c>
      <c r="B383">
        <v>0</v>
      </c>
      <c r="E383">
        <v>0</v>
      </c>
    </row>
    <row r="384" spans="1:5" x14ac:dyDescent="0.25">
      <c r="A384" s="3">
        <v>45335</v>
      </c>
      <c r="B384">
        <v>0</v>
      </c>
      <c r="E384">
        <v>0</v>
      </c>
    </row>
    <row r="385" spans="1:5" x14ac:dyDescent="0.25">
      <c r="A385" s="3">
        <v>45336</v>
      </c>
      <c r="B385">
        <v>0</v>
      </c>
      <c r="E385">
        <v>0</v>
      </c>
    </row>
    <row r="386" spans="1:5" x14ac:dyDescent="0.25">
      <c r="A386" s="3">
        <v>45337</v>
      </c>
      <c r="B386">
        <v>0</v>
      </c>
      <c r="E386">
        <v>0</v>
      </c>
    </row>
    <row r="387" spans="1:5" x14ac:dyDescent="0.25">
      <c r="A387" s="3">
        <v>45338</v>
      </c>
      <c r="B387">
        <v>0</v>
      </c>
      <c r="E387">
        <v>0</v>
      </c>
    </row>
    <row r="388" spans="1:5" x14ac:dyDescent="0.25">
      <c r="A388" s="3">
        <v>45339</v>
      </c>
      <c r="B388">
        <v>0</v>
      </c>
      <c r="E388">
        <v>0</v>
      </c>
    </row>
    <row r="389" spans="1:5" x14ac:dyDescent="0.25">
      <c r="A389" s="3">
        <v>45340</v>
      </c>
      <c r="B389">
        <v>0</v>
      </c>
      <c r="E389">
        <v>0</v>
      </c>
    </row>
    <row r="390" spans="1:5" x14ac:dyDescent="0.25">
      <c r="A390" s="3">
        <v>45341</v>
      </c>
      <c r="B390">
        <v>0</v>
      </c>
      <c r="E390">
        <v>0</v>
      </c>
    </row>
    <row r="391" spans="1:5" x14ac:dyDescent="0.25">
      <c r="A391" s="3">
        <v>45342</v>
      </c>
      <c r="B391">
        <v>0</v>
      </c>
      <c r="E391">
        <v>0</v>
      </c>
    </row>
    <row r="392" spans="1:5" x14ac:dyDescent="0.25">
      <c r="A392" s="3">
        <v>45343</v>
      </c>
      <c r="B392">
        <v>0</v>
      </c>
      <c r="E392">
        <v>0</v>
      </c>
    </row>
    <row r="393" spans="1:5" x14ac:dyDescent="0.25">
      <c r="A393" s="3">
        <v>45344</v>
      </c>
      <c r="B393">
        <v>0</v>
      </c>
      <c r="E393">
        <v>0</v>
      </c>
    </row>
    <row r="394" spans="1:5" x14ac:dyDescent="0.25">
      <c r="A394" s="3">
        <v>45345</v>
      </c>
      <c r="B394">
        <v>0</v>
      </c>
      <c r="E394">
        <v>0</v>
      </c>
    </row>
    <row r="395" spans="1:5" x14ac:dyDescent="0.25">
      <c r="A395" s="3">
        <v>45346</v>
      </c>
      <c r="B395">
        <v>0</v>
      </c>
      <c r="E395">
        <v>0</v>
      </c>
    </row>
    <row r="396" spans="1:5" x14ac:dyDescent="0.25">
      <c r="A396" s="3">
        <v>45347</v>
      </c>
      <c r="B396">
        <v>0</v>
      </c>
      <c r="E396">
        <v>0</v>
      </c>
    </row>
    <row r="397" spans="1:5" x14ac:dyDescent="0.25">
      <c r="A397" s="3">
        <v>45348</v>
      </c>
      <c r="B397">
        <v>0</v>
      </c>
      <c r="E397">
        <v>0</v>
      </c>
    </row>
    <row r="398" spans="1:5" x14ac:dyDescent="0.25">
      <c r="A398" s="3">
        <v>45349</v>
      </c>
      <c r="B398">
        <v>0</v>
      </c>
      <c r="E398">
        <v>0</v>
      </c>
    </row>
    <row r="399" spans="1:5" x14ac:dyDescent="0.25">
      <c r="A399" s="3">
        <v>45350</v>
      </c>
      <c r="B399">
        <v>0</v>
      </c>
      <c r="E399">
        <v>0</v>
      </c>
    </row>
    <row r="400" spans="1:5" x14ac:dyDescent="0.25">
      <c r="A400" s="3">
        <v>45351</v>
      </c>
      <c r="B400">
        <v>0</v>
      </c>
      <c r="E400">
        <v>0</v>
      </c>
    </row>
    <row r="401" spans="1:5" x14ac:dyDescent="0.25">
      <c r="A401" s="3">
        <v>45352</v>
      </c>
      <c r="B401">
        <v>0</v>
      </c>
      <c r="E401">
        <v>0</v>
      </c>
    </row>
    <row r="402" spans="1:5" x14ac:dyDescent="0.25">
      <c r="A402" s="3">
        <v>45353</v>
      </c>
      <c r="B402">
        <v>0</v>
      </c>
      <c r="E402">
        <v>0</v>
      </c>
    </row>
    <row r="403" spans="1:5" x14ac:dyDescent="0.25">
      <c r="A403" s="3">
        <v>45354</v>
      </c>
      <c r="B403">
        <v>0</v>
      </c>
      <c r="E403">
        <v>0</v>
      </c>
    </row>
    <row r="404" spans="1:5" x14ac:dyDescent="0.25">
      <c r="A404" s="3">
        <v>45355</v>
      </c>
      <c r="B404">
        <v>0</v>
      </c>
      <c r="E404">
        <v>0</v>
      </c>
    </row>
    <row r="405" spans="1:5" x14ac:dyDescent="0.25">
      <c r="A405" s="3">
        <v>45356</v>
      </c>
      <c r="B405">
        <v>0</v>
      </c>
      <c r="E405">
        <v>0</v>
      </c>
    </row>
    <row r="406" spans="1:5" x14ac:dyDescent="0.25">
      <c r="A406" s="3">
        <v>45357</v>
      </c>
      <c r="B406">
        <v>0</v>
      </c>
      <c r="E406">
        <v>0</v>
      </c>
    </row>
    <row r="407" spans="1:5" x14ac:dyDescent="0.25">
      <c r="A407" s="3">
        <v>45358</v>
      </c>
      <c r="B407">
        <v>0</v>
      </c>
      <c r="E407">
        <v>0</v>
      </c>
    </row>
    <row r="408" spans="1:5" x14ac:dyDescent="0.25">
      <c r="A408" s="3">
        <v>45359</v>
      </c>
      <c r="B408">
        <v>0</v>
      </c>
      <c r="E408">
        <v>0</v>
      </c>
    </row>
    <row r="409" spans="1:5" x14ac:dyDescent="0.25">
      <c r="A409" s="3">
        <v>45360</v>
      </c>
      <c r="B409">
        <v>0</v>
      </c>
      <c r="E409">
        <v>0</v>
      </c>
    </row>
    <row r="410" spans="1:5" x14ac:dyDescent="0.25">
      <c r="A410" s="3">
        <v>45361</v>
      </c>
      <c r="B410">
        <v>0</v>
      </c>
      <c r="E410">
        <v>0</v>
      </c>
    </row>
    <row r="411" spans="1:5" x14ac:dyDescent="0.25">
      <c r="A411" s="3">
        <v>45362</v>
      </c>
      <c r="B411">
        <v>0</v>
      </c>
      <c r="E411">
        <v>0</v>
      </c>
    </row>
    <row r="412" spans="1:5" x14ac:dyDescent="0.25">
      <c r="A412" s="3">
        <v>45363</v>
      </c>
      <c r="B412">
        <v>0</v>
      </c>
      <c r="E412">
        <v>0</v>
      </c>
    </row>
    <row r="413" spans="1:5" x14ac:dyDescent="0.25">
      <c r="A413" s="3">
        <v>45364</v>
      </c>
      <c r="B413">
        <v>0</v>
      </c>
      <c r="E413">
        <v>0</v>
      </c>
    </row>
    <row r="414" spans="1:5" x14ac:dyDescent="0.25">
      <c r="A414" s="3">
        <v>45365</v>
      </c>
      <c r="B414">
        <v>0</v>
      </c>
      <c r="E414">
        <v>0</v>
      </c>
    </row>
    <row r="415" spans="1:5" x14ac:dyDescent="0.25">
      <c r="A415" s="3">
        <v>45366</v>
      </c>
      <c r="B415">
        <v>0</v>
      </c>
      <c r="E415">
        <v>0</v>
      </c>
    </row>
    <row r="416" spans="1:5" x14ac:dyDescent="0.25">
      <c r="A416" s="3">
        <v>45367</v>
      </c>
      <c r="B416">
        <v>0</v>
      </c>
      <c r="E416">
        <v>0</v>
      </c>
    </row>
    <row r="417" spans="1:5" x14ac:dyDescent="0.25">
      <c r="A417" s="3">
        <v>45368</v>
      </c>
      <c r="B417">
        <v>0</v>
      </c>
      <c r="E417">
        <v>0</v>
      </c>
    </row>
    <row r="418" spans="1:5" x14ac:dyDescent="0.25">
      <c r="A418" s="3">
        <v>45369</v>
      </c>
      <c r="B418">
        <v>0</v>
      </c>
      <c r="E418">
        <v>0</v>
      </c>
    </row>
    <row r="419" spans="1:5" x14ac:dyDescent="0.25">
      <c r="A419" s="3">
        <v>45370</v>
      </c>
      <c r="B419">
        <v>0</v>
      </c>
      <c r="E419">
        <v>0</v>
      </c>
    </row>
    <row r="420" spans="1:5" x14ac:dyDescent="0.25">
      <c r="A420" s="3">
        <v>45371</v>
      </c>
      <c r="B420">
        <v>0</v>
      </c>
      <c r="E420">
        <v>0</v>
      </c>
    </row>
    <row r="421" spans="1:5" x14ac:dyDescent="0.25">
      <c r="A421" s="3">
        <v>45372</v>
      </c>
      <c r="B421">
        <v>0</v>
      </c>
      <c r="E421">
        <v>0</v>
      </c>
    </row>
    <row r="422" spans="1:5" x14ac:dyDescent="0.25">
      <c r="A422" s="3">
        <v>45373</v>
      </c>
      <c r="B422">
        <v>0</v>
      </c>
      <c r="E422">
        <v>0</v>
      </c>
    </row>
    <row r="423" spans="1:5" x14ac:dyDescent="0.25">
      <c r="A423" s="3">
        <v>45374</v>
      </c>
      <c r="B423">
        <v>0</v>
      </c>
      <c r="E423">
        <v>0</v>
      </c>
    </row>
    <row r="424" spans="1:5" x14ac:dyDescent="0.25">
      <c r="A424" s="3">
        <v>45375</v>
      </c>
      <c r="B424">
        <v>0</v>
      </c>
      <c r="E424">
        <v>0</v>
      </c>
    </row>
    <row r="425" spans="1:5" x14ac:dyDescent="0.25">
      <c r="A425" s="3">
        <v>45376</v>
      </c>
      <c r="B425">
        <v>0</v>
      </c>
      <c r="E425">
        <v>0</v>
      </c>
    </row>
    <row r="426" spans="1:5" x14ac:dyDescent="0.25">
      <c r="A426" s="3">
        <v>45377</v>
      </c>
      <c r="B426">
        <v>0</v>
      </c>
      <c r="E426">
        <v>0</v>
      </c>
    </row>
    <row r="427" spans="1:5" x14ac:dyDescent="0.25">
      <c r="A427" s="3">
        <v>45378</v>
      </c>
      <c r="B427">
        <v>0</v>
      </c>
      <c r="E427">
        <v>0</v>
      </c>
    </row>
    <row r="428" spans="1:5" x14ac:dyDescent="0.25">
      <c r="A428" s="3">
        <v>45379</v>
      </c>
      <c r="B428">
        <v>0</v>
      </c>
      <c r="E428">
        <v>0</v>
      </c>
    </row>
    <row r="429" spans="1:5" x14ac:dyDescent="0.25">
      <c r="A429" s="3">
        <v>45380</v>
      </c>
      <c r="B429">
        <v>0</v>
      </c>
      <c r="E429">
        <v>0</v>
      </c>
    </row>
    <row r="430" spans="1:5" x14ac:dyDescent="0.25">
      <c r="A430" s="3">
        <v>45381</v>
      </c>
      <c r="B430">
        <v>0</v>
      </c>
      <c r="E430">
        <v>0</v>
      </c>
    </row>
    <row r="431" spans="1:5" x14ac:dyDescent="0.25">
      <c r="A431" s="3">
        <v>45382</v>
      </c>
      <c r="B431">
        <v>0</v>
      </c>
      <c r="E431">
        <v>0</v>
      </c>
    </row>
    <row r="432" spans="1:5" x14ac:dyDescent="0.25">
      <c r="A432" s="3">
        <v>45383</v>
      </c>
      <c r="B432">
        <v>0</v>
      </c>
      <c r="E432">
        <v>0</v>
      </c>
    </row>
    <row r="433" spans="1:5" x14ac:dyDescent="0.25">
      <c r="A433" s="3">
        <v>45384</v>
      </c>
      <c r="B433">
        <v>0</v>
      </c>
      <c r="E433">
        <v>0</v>
      </c>
    </row>
    <row r="434" spans="1:5" x14ac:dyDescent="0.25">
      <c r="A434" s="3">
        <v>45385</v>
      </c>
      <c r="B434">
        <v>0</v>
      </c>
      <c r="E434">
        <v>0</v>
      </c>
    </row>
    <row r="435" spans="1:5" x14ac:dyDescent="0.25">
      <c r="A435" s="3">
        <v>45386</v>
      </c>
      <c r="B435">
        <v>0</v>
      </c>
      <c r="E435">
        <v>0</v>
      </c>
    </row>
    <row r="436" spans="1:5" x14ac:dyDescent="0.25">
      <c r="A436" s="3">
        <v>45387</v>
      </c>
      <c r="B436">
        <v>0</v>
      </c>
      <c r="E436">
        <v>0</v>
      </c>
    </row>
    <row r="437" spans="1:5" x14ac:dyDescent="0.25">
      <c r="A437" s="3">
        <v>45388</v>
      </c>
      <c r="B437">
        <v>0</v>
      </c>
      <c r="E437">
        <v>0</v>
      </c>
    </row>
    <row r="438" spans="1:5" x14ac:dyDescent="0.25">
      <c r="A438" s="3">
        <v>45389</v>
      </c>
      <c r="B438">
        <v>0</v>
      </c>
      <c r="E438">
        <v>0</v>
      </c>
    </row>
    <row r="439" spans="1:5" x14ac:dyDescent="0.25">
      <c r="A439" s="3">
        <v>45390</v>
      </c>
      <c r="B439">
        <v>0</v>
      </c>
      <c r="E439">
        <v>0</v>
      </c>
    </row>
    <row r="440" spans="1:5" x14ac:dyDescent="0.25">
      <c r="A440" s="3">
        <v>45391</v>
      </c>
      <c r="B440">
        <v>0</v>
      </c>
      <c r="E440">
        <v>0</v>
      </c>
    </row>
    <row r="441" spans="1:5" x14ac:dyDescent="0.25">
      <c r="A441" s="3">
        <v>45392</v>
      </c>
      <c r="B441">
        <v>0</v>
      </c>
      <c r="E441">
        <v>0</v>
      </c>
    </row>
    <row r="442" spans="1:5" x14ac:dyDescent="0.25">
      <c r="A442" s="3">
        <v>45393</v>
      </c>
      <c r="B442">
        <v>0</v>
      </c>
      <c r="E442">
        <v>0</v>
      </c>
    </row>
    <row r="443" spans="1:5" x14ac:dyDescent="0.25">
      <c r="A443" s="3">
        <v>45394</v>
      </c>
      <c r="B443">
        <v>0</v>
      </c>
      <c r="E443">
        <v>0</v>
      </c>
    </row>
    <row r="444" spans="1:5" x14ac:dyDescent="0.25">
      <c r="A444" s="3">
        <v>45395</v>
      </c>
      <c r="B444">
        <v>0</v>
      </c>
      <c r="E444">
        <v>0</v>
      </c>
    </row>
    <row r="445" spans="1:5" x14ac:dyDescent="0.25">
      <c r="A445" s="3">
        <v>45396</v>
      </c>
      <c r="B445">
        <v>0</v>
      </c>
      <c r="E445">
        <v>0</v>
      </c>
    </row>
    <row r="446" spans="1:5" x14ac:dyDescent="0.25">
      <c r="A446" s="3">
        <v>45397</v>
      </c>
      <c r="B446">
        <v>0</v>
      </c>
      <c r="E446">
        <v>0</v>
      </c>
    </row>
    <row r="447" spans="1:5" x14ac:dyDescent="0.25">
      <c r="A447" s="3">
        <v>45398</v>
      </c>
      <c r="B447">
        <v>0</v>
      </c>
      <c r="E447">
        <v>0</v>
      </c>
    </row>
    <row r="448" spans="1:5" x14ac:dyDescent="0.25">
      <c r="A448" s="3">
        <v>45399</v>
      </c>
      <c r="B448">
        <v>0</v>
      </c>
      <c r="E448">
        <v>0</v>
      </c>
    </row>
    <row r="449" spans="1:5" x14ac:dyDescent="0.25">
      <c r="A449" s="3">
        <v>45400</v>
      </c>
      <c r="B449">
        <v>0</v>
      </c>
      <c r="E449">
        <v>0</v>
      </c>
    </row>
    <row r="450" spans="1:5" x14ac:dyDescent="0.25">
      <c r="A450" s="3">
        <v>45401</v>
      </c>
      <c r="B450">
        <v>0</v>
      </c>
      <c r="E450">
        <v>0</v>
      </c>
    </row>
    <row r="451" spans="1:5" x14ac:dyDescent="0.25">
      <c r="A451" s="3">
        <v>45402</v>
      </c>
      <c r="B451">
        <v>0</v>
      </c>
      <c r="E451">
        <v>0</v>
      </c>
    </row>
    <row r="452" spans="1:5" x14ac:dyDescent="0.25">
      <c r="A452" s="3">
        <v>45403</v>
      </c>
      <c r="B452">
        <v>0</v>
      </c>
      <c r="E452">
        <v>0</v>
      </c>
    </row>
    <row r="453" spans="1:5" x14ac:dyDescent="0.25">
      <c r="A453" s="3">
        <v>45404</v>
      </c>
      <c r="B453">
        <v>0</v>
      </c>
      <c r="E453">
        <v>0</v>
      </c>
    </row>
    <row r="454" spans="1:5" x14ac:dyDescent="0.25">
      <c r="A454" s="3">
        <v>45405</v>
      </c>
      <c r="B454">
        <v>0</v>
      </c>
      <c r="E454">
        <v>0</v>
      </c>
    </row>
    <row r="455" spans="1:5" x14ac:dyDescent="0.25">
      <c r="A455" s="3">
        <v>45406</v>
      </c>
      <c r="B455">
        <v>0</v>
      </c>
      <c r="E455">
        <v>0</v>
      </c>
    </row>
    <row r="456" spans="1:5" x14ac:dyDescent="0.25">
      <c r="A456" s="3">
        <v>45407</v>
      </c>
      <c r="B456">
        <v>0</v>
      </c>
      <c r="E456">
        <v>0</v>
      </c>
    </row>
    <row r="457" spans="1:5" x14ac:dyDescent="0.25">
      <c r="A457" s="3">
        <v>45408</v>
      </c>
      <c r="B457">
        <v>0</v>
      </c>
      <c r="E457">
        <v>0</v>
      </c>
    </row>
    <row r="458" spans="1:5" x14ac:dyDescent="0.25">
      <c r="A458" s="3">
        <v>45409</v>
      </c>
      <c r="B458">
        <v>0</v>
      </c>
      <c r="E458">
        <v>0</v>
      </c>
    </row>
    <row r="459" spans="1:5" x14ac:dyDescent="0.25">
      <c r="A459" s="3">
        <v>45410</v>
      </c>
      <c r="B459">
        <v>0</v>
      </c>
      <c r="E459">
        <v>0</v>
      </c>
    </row>
    <row r="460" spans="1:5" x14ac:dyDescent="0.25">
      <c r="A460" s="3">
        <v>45411</v>
      </c>
      <c r="B460">
        <v>0</v>
      </c>
      <c r="E460">
        <v>0</v>
      </c>
    </row>
    <row r="461" spans="1:5" x14ac:dyDescent="0.25">
      <c r="A461" s="3">
        <v>45412</v>
      </c>
      <c r="B461">
        <v>0</v>
      </c>
      <c r="E461">
        <v>0</v>
      </c>
    </row>
    <row r="462" spans="1:5" x14ac:dyDescent="0.25">
      <c r="A462" s="3">
        <v>45413</v>
      </c>
      <c r="B462">
        <v>0</v>
      </c>
      <c r="E462">
        <v>0</v>
      </c>
    </row>
    <row r="463" spans="1:5" x14ac:dyDescent="0.25">
      <c r="A463" s="3">
        <v>45414</v>
      </c>
      <c r="B463">
        <v>0</v>
      </c>
      <c r="E463">
        <v>0</v>
      </c>
    </row>
    <row r="464" spans="1:5" x14ac:dyDescent="0.25">
      <c r="A464" s="3">
        <v>45415</v>
      </c>
      <c r="B464">
        <v>0</v>
      </c>
      <c r="E464">
        <v>0</v>
      </c>
    </row>
    <row r="465" spans="1:5" x14ac:dyDescent="0.25">
      <c r="A465" s="3">
        <v>45416</v>
      </c>
      <c r="B465">
        <v>0</v>
      </c>
      <c r="E465">
        <v>0</v>
      </c>
    </row>
    <row r="466" spans="1:5" x14ac:dyDescent="0.25">
      <c r="A466" s="3">
        <v>45417</v>
      </c>
      <c r="B466">
        <v>0</v>
      </c>
      <c r="E466">
        <v>0</v>
      </c>
    </row>
    <row r="467" spans="1:5" x14ac:dyDescent="0.25">
      <c r="A467" s="3">
        <v>45418</v>
      </c>
      <c r="B467">
        <v>0</v>
      </c>
      <c r="E467">
        <v>0</v>
      </c>
    </row>
    <row r="468" spans="1:5" x14ac:dyDescent="0.25">
      <c r="A468" s="3">
        <v>45419</v>
      </c>
      <c r="B468">
        <v>0</v>
      </c>
      <c r="E468">
        <v>0</v>
      </c>
    </row>
    <row r="469" spans="1:5" x14ac:dyDescent="0.25">
      <c r="A469" s="3">
        <v>45420</v>
      </c>
      <c r="B469">
        <v>0</v>
      </c>
      <c r="E469">
        <v>0</v>
      </c>
    </row>
    <row r="470" spans="1:5" x14ac:dyDescent="0.25">
      <c r="A470" s="3">
        <v>45421</v>
      </c>
      <c r="B470">
        <v>0</v>
      </c>
      <c r="E470">
        <v>0</v>
      </c>
    </row>
    <row r="471" spans="1:5" x14ac:dyDescent="0.25">
      <c r="A471" s="3">
        <v>45422</v>
      </c>
      <c r="B471">
        <v>0</v>
      </c>
      <c r="E471">
        <v>0</v>
      </c>
    </row>
    <row r="472" spans="1:5" x14ac:dyDescent="0.25">
      <c r="A472" s="3">
        <v>45423</v>
      </c>
      <c r="B472">
        <v>0</v>
      </c>
      <c r="E472">
        <v>0</v>
      </c>
    </row>
    <row r="473" spans="1:5" x14ac:dyDescent="0.25">
      <c r="A473" s="3">
        <v>45424</v>
      </c>
      <c r="B473">
        <v>0</v>
      </c>
      <c r="E473">
        <v>0</v>
      </c>
    </row>
    <row r="474" spans="1:5" x14ac:dyDescent="0.25">
      <c r="A474" s="3">
        <v>45425</v>
      </c>
      <c r="B474">
        <v>0</v>
      </c>
      <c r="E474">
        <v>0</v>
      </c>
    </row>
    <row r="475" spans="1:5" x14ac:dyDescent="0.25">
      <c r="A475" s="3">
        <v>45426</v>
      </c>
      <c r="B475">
        <v>0</v>
      </c>
      <c r="E475">
        <v>0</v>
      </c>
    </row>
    <row r="476" spans="1:5" x14ac:dyDescent="0.25">
      <c r="A476" s="3">
        <v>45427</v>
      </c>
      <c r="B476">
        <v>0</v>
      </c>
      <c r="E476">
        <v>0</v>
      </c>
    </row>
    <row r="477" spans="1:5" x14ac:dyDescent="0.25">
      <c r="A477" s="3">
        <v>45428</v>
      </c>
      <c r="B477">
        <v>0</v>
      </c>
      <c r="E477">
        <v>0</v>
      </c>
    </row>
    <row r="478" spans="1:5" x14ac:dyDescent="0.25">
      <c r="A478" s="3">
        <v>45429</v>
      </c>
      <c r="B478">
        <v>0</v>
      </c>
      <c r="E478">
        <v>0</v>
      </c>
    </row>
    <row r="479" spans="1:5" x14ac:dyDescent="0.25">
      <c r="A479" s="3">
        <v>45430</v>
      </c>
      <c r="B479">
        <v>0</v>
      </c>
      <c r="E479">
        <v>0</v>
      </c>
    </row>
    <row r="480" spans="1:5" x14ac:dyDescent="0.25">
      <c r="A480" s="3">
        <v>45431</v>
      </c>
      <c r="B480">
        <v>0</v>
      </c>
      <c r="E480">
        <v>0</v>
      </c>
    </row>
    <row r="481" spans="1:5" x14ac:dyDescent="0.25">
      <c r="A481" s="3">
        <v>45432</v>
      </c>
      <c r="B481">
        <v>0</v>
      </c>
      <c r="E481">
        <v>0</v>
      </c>
    </row>
    <row r="482" spans="1:5" x14ac:dyDescent="0.25">
      <c r="A482" s="3">
        <v>45433</v>
      </c>
      <c r="B482">
        <v>0</v>
      </c>
      <c r="E482">
        <v>0</v>
      </c>
    </row>
    <row r="483" spans="1:5" x14ac:dyDescent="0.25">
      <c r="A483" s="3">
        <v>45434</v>
      </c>
      <c r="B483">
        <v>0</v>
      </c>
      <c r="E483">
        <v>0</v>
      </c>
    </row>
    <row r="484" spans="1:5" x14ac:dyDescent="0.25">
      <c r="A484" s="3">
        <v>45435</v>
      </c>
      <c r="B484">
        <v>0</v>
      </c>
      <c r="E484">
        <v>0</v>
      </c>
    </row>
    <row r="485" spans="1:5" x14ac:dyDescent="0.25">
      <c r="A485" s="3">
        <v>45436</v>
      </c>
      <c r="B485">
        <v>0</v>
      </c>
      <c r="E485">
        <v>0</v>
      </c>
    </row>
    <row r="486" spans="1:5" x14ac:dyDescent="0.25">
      <c r="A486" s="3">
        <v>45437</v>
      </c>
      <c r="B486">
        <v>0</v>
      </c>
      <c r="E486">
        <v>0</v>
      </c>
    </row>
    <row r="487" spans="1:5" x14ac:dyDescent="0.25">
      <c r="A487" s="3">
        <v>45438</v>
      </c>
      <c r="B487">
        <v>0</v>
      </c>
      <c r="E487">
        <v>0</v>
      </c>
    </row>
    <row r="488" spans="1:5" x14ac:dyDescent="0.25">
      <c r="A488" s="3">
        <v>45439</v>
      </c>
      <c r="B488">
        <v>0</v>
      </c>
      <c r="E488">
        <v>0</v>
      </c>
    </row>
    <row r="489" spans="1:5" x14ac:dyDescent="0.25">
      <c r="A489" s="3">
        <v>45440</v>
      </c>
      <c r="B489">
        <v>0</v>
      </c>
      <c r="E489">
        <v>0</v>
      </c>
    </row>
    <row r="490" spans="1:5" x14ac:dyDescent="0.25">
      <c r="A490" s="3">
        <v>45441</v>
      </c>
      <c r="B490">
        <v>0</v>
      </c>
      <c r="E490">
        <v>0</v>
      </c>
    </row>
    <row r="491" spans="1:5" x14ac:dyDescent="0.25">
      <c r="A491" s="3">
        <v>45442</v>
      </c>
      <c r="B491">
        <v>0</v>
      </c>
      <c r="E491">
        <v>0</v>
      </c>
    </row>
    <row r="492" spans="1:5" x14ac:dyDescent="0.25">
      <c r="A492" s="3">
        <v>45443</v>
      </c>
      <c r="B492">
        <v>0</v>
      </c>
      <c r="E492">
        <v>0</v>
      </c>
    </row>
    <row r="493" spans="1:5" x14ac:dyDescent="0.25">
      <c r="A493" s="3">
        <v>45444</v>
      </c>
      <c r="B493">
        <v>0</v>
      </c>
      <c r="E493">
        <v>0</v>
      </c>
    </row>
    <row r="494" spans="1:5" x14ac:dyDescent="0.25">
      <c r="A494" s="3">
        <v>45445</v>
      </c>
      <c r="B494">
        <v>0</v>
      </c>
      <c r="E494">
        <v>0</v>
      </c>
    </row>
    <row r="495" spans="1:5" x14ac:dyDescent="0.25">
      <c r="A495" s="3">
        <v>45446</v>
      </c>
      <c r="B495">
        <v>0</v>
      </c>
      <c r="E495">
        <v>0</v>
      </c>
    </row>
    <row r="496" spans="1:5" x14ac:dyDescent="0.25">
      <c r="A496" s="3">
        <v>45447</v>
      </c>
      <c r="B496">
        <v>0</v>
      </c>
      <c r="E496">
        <v>0</v>
      </c>
    </row>
    <row r="497" spans="1:5" x14ac:dyDescent="0.25">
      <c r="A497" s="3">
        <v>45448</v>
      </c>
      <c r="B497">
        <v>0</v>
      </c>
      <c r="E497">
        <v>0</v>
      </c>
    </row>
    <row r="498" spans="1:5" x14ac:dyDescent="0.25">
      <c r="A498" s="3">
        <v>45449</v>
      </c>
      <c r="B498">
        <v>0</v>
      </c>
      <c r="E498">
        <v>0</v>
      </c>
    </row>
    <row r="499" spans="1:5" x14ac:dyDescent="0.25">
      <c r="A499" s="3">
        <v>45450</v>
      </c>
      <c r="B499">
        <v>0</v>
      </c>
      <c r="E499">
        <v>0</v>
      </c>
    </row>
    <row r="500" spans="1:5" x14ac:dyDescent="0.25">
      <c r="A500" s="3">
        <v>45451</v>
      </c>
      <c r="B500">
        <v>0</v>
      </c>
      <c r="E500">
        <v>0</v>
      </c>
    </row>
    <row r="501" spans="1:5" x14ac:dyDescent="0.25">
      <c r="A501" s="3">
        <v>45452</v>
      </c>
      <c r="B501">
        <v>0</v>
      </c>
      <c r="E501">
        <v>0</v>
      </c>
    </row>
    <row r="502" spans="1:5" x14ac:dyDescent="0.25">
      <c r="A502" s="3">
        <v>45453</v>
      </c>
      <c r="B502">
        <v>0</v>
      </c>
      <c r="E502">
        <v>0</v>
      </c>
    </row>
    <row r="503" spans="1:5" x14ac:dyDescent="0.25">
      <c r="A503" s="3">
        <v>45454</v>
      </c>
      <c r="B503">
        <v>0</v>
      </c>
      <c r="E503">
        <v>0</v>
      </c>
    </row>
    <row r="504" spans="1:5" x14ac:dyDescent="0.25">
      <c r="A504" s="3">
        <v>45455</v>
      </c>
      <c r="B504">
        <v>0</v>
      </c>
      <c r="E504">
        <v>0</v>
      </c>
    </row>
    <row r="505" spans="1:5" x14ac:dyDescent="0.25">
      <c r="A505" s="3">
        <v>45456</v>
      </c>
      <c r="B505">
        <v>0</v>
      </c>
      <c r="E505">
        <v>0</v>
      </c>
    </row>
    <row r="506" spans="1:5" x14ac:dyDescent="0.25">
      <c r="A506" s="3">
        <v>45457</v>
      </c>
      <c r="B506">
        <v>0</v>
      </c>
      <c r="E506">
        <v>0</v>
      </c>
    </row>
    <row r="507" spans="1:5" x14ac:dyDescent="0.25">
      <c r="A507" s="3">
        <v>45458</v>
      </c>
      <c r="B507">
        <v>0</v>
      </c>
      <c r="E507">
        <v>0</v>
      </c>
    </row>
    <row r="508" spans="1:5" x14ac:dyDescent="0.25">
      <c r="A508" s="3">
        <v>45459</v>
      </c>
      <c r="B508">
        <v>0</v>
      </c>
      <c r="E508">
        <v>0</v>
      </c>
    </row>
    <row r="509" spans="1:5" x14ac:dyDescent="0.25">
      <c r="A509" s="3">
        <v>45460</v>
      </c>
      <c r="B509">
        <v>0</v>
      </c>
      <c r="E509">
        <v>0</v>
      </c>
    </row>
    <row r="510" spans="1:5" x14ac:dyDescent="0.25">
      <c r="A510" s="3">
        <v>45461</v>
      </c>
      <c r="B510">
        <v>0</v>
      </c>
      <c r="E510">
        <v>0</v>
      </c>
    </row>
    <row r="511" spans="1:5" x14ac:dyDescent="0.25">
      <c r="A511" s="3">
        <v>45462</v>
      </c>
      <c r="B511">
        <v>0</v>
      </c>
      <c r="E511">
        <v>0</v>
      </c>
    </row>
    <row r="512" spans="1:5" x14ac:dyDescent="0.25">
      <c r="A512" s="3">
        <v>45463</v>
      </c>
      <c r="B512">
        <v>0</v>
      </c>
      <c r="E512">
        <v>0</v>
      </c>
    </row>
    <row r="513" spans="1:5" x14ac:dyDescent="0.25">
      <c r="A513" s="3">
        <v>45464</v>
      </c>
      <c r="B513">
        <v>0</v>
      </c>
      <c r="E513">
        <v>0</v>
      </c>
    </row>
    <row r="514" spans="1:5" x14ac:dyDescent="0.25">
      <c r="A514" s="3">
        <v>45465</v>
      </c>
      <c r="B514">
        <v>0</v>
      </c>
      <c r="E514">
        <v>0</v>
      </c>
    </row>
    <row r="515" spans="1:5" x14ac:dyDescent="0.25">
      <c r="A515" s="3">
        <v>45466</v>
      </c>
      <c r="B515">
        <v>0</v>
      </c>
      <c r="E515">
        <v>0</v>
      </c>
    </row>
    <row r="516" spans="1:5" x14ac:dyDescent="0.25">
      <c r="A516" s="3">
        <v>45467</v>
      </c>
      <c r="B516">
        <v>0</v>
      </c>
      <c r="E516">
        <v>0</v>
      </c>
    </row>
    <row r="517" spans="1:5" x14ac:dyDescent="0.25">
      <c r="A517" s="3">
        <v>45468</v>
      </c>
      <c r="B517">
        <v>0</v>
      </c>
      <c r="E517">
        <v>0</v>
      </c>
    </row>
    <row r="518" spans="1:5" x14ac:dyDescent="0.25">
      <c r="A518" s="3">
        <v>45469</v>
      </c>
      <c r="B518">
        <v>0</v>
      </c>
      <c r="E518">
        <v>0</v>
      </c>
    </row>
    <row r="519" spans="1:5" x14ac:dyDescent="0.25">
      <c r="A519" s="3">
        <v>45470</v>
      </c>
      <c r="B519">
        <v>0</v>
      </c>
      <c r="E519">
        <v>0</v>
      </c>
    </row>
    <row r="520" spans="1:5" x14ac:dyDescent="0.25">
      <c r="A520" s="3">
        <v>45471</v>
      </c>
      <c r="B520">
        <v>0</v>
      </c>
      <c r="E520">
        <v>0</v>
      </c>
    </row>
    <row r="521" spans="1:5" x14ac:dyDescent="0.25">
      <c r="A521" s="3">
        <v>45472</v>
      </c>
      <c r="B521">
        <v>0</v>
      </c>
      <c r="E521">
        <v>0</v>
      </c>
    </row>
    <row r="522" spans="1:5" x14ac:dyDescent="0.25">
      <c r="A522" s="3">
        <v>45473</v>
      </c>
      <c r="B522">
        <v>0</v>
      </c>
      <c r="E522">
        <v>0</v>
      </c>
    </row>
    <row r="523" spans="1:5" x14ac:dyDescent="0.25">
      <c r="A523" s="3">
        <v>45474</v>
      </c>
      <c r="B523">
        <v>0</v>
      </c>
      <c r="E523">
        <v>0</v>
      </c>
    </row>
    <row r="524" spans="1:5" x14ac:dyDescent="0.25">
      <c r="A524" s="3">
        <v>45475</v>
      </c>
      <c r="B524">
        <v>0</v>
      </c>
      <c r="E524">
        <v>0</v>
      </c>
    </row>
    <row r="525" spans="1:5" x14ac:dyDescent="0.25">
      <c r="A525" s="3">
        <v>45476</v>
      </c>
      <c r="B525">
        <v>0</v>
      </c>
      <c r="E525">
        <v>0</v>
      </c>
    </row>
    <row r="526" spans="1:5" x14ac:dyDescent="0.25">
      <c r="A526" s="3">
        <v>45477</v>
      </c>
      <c r="B526">
        <v>0</v>
      </c>
      <c r="E526">
        <v>0</v>
      </c>
    </row>
    <row r="527" spans="1:5" x14ac:dyDescent="0.25">
      <c r="A527" s="3">
        <v>45478</v>
      </c>
      <c r="B527">
        <v>0</v>
      </c>
      <c r="E527">
        <v>0</v>
      </c>
    </row>
    <row r="528" spans="1:5" x14ac:dyDescent="0.25">
      <c r="A528" s="3">
        <v>45479</v>
      </c>
      <c r="B528">
        <v>0</v>
      </c>
      <c r="E528">
        <v>0</v>
      </c>
    </row>
    <row r="529" spans="1:5" x14ac:dyDescent="0.25">
      <c r="A529" s="3">
        <v>45480</v>
      </c>
      <c r="B529">
        <v>0</v>
      </c>
      <c r="E529">
        <v>0</v>
      </c>
    </row>
    <row r="530" spans="1:5" x14ac:dyDescent="0.25">
      <c r="A530" s="3">
        <v>45481</v>
      </c>
      <c r="B530">
        <v>0</v>
      </c>
      <c r="E530">
        <v>0</v>
      </c>
    </row>
    <row r="531" spans="1:5" x14ac:dyDescent="0.25">
      <c r="A531" s="3">
        <v>45482</v>
      </c>
      <c r="B531">
        <v>0</v>
      </c>
      <c r="E531">
        <v>0</v>
      </c>
    </row>
    <row r="532" spans="1:5" x14ac:dyDescent="0.25">
      <c r="A532" s="3">
        <v>45483</v>
      </c>
      <c r="B532">
        <v>0</v>
      </c>
      <c r="E532">
        <v>0</v>
      </c>
    </row>
    <row r="533" spans="1:5" x14ac:dyDescent="0.25">
      <c r="A533" s="3">
        <v>45484</v>
      </c>
      <c r="B533">
        <v>0</v>
      </c>
      <c r="E533">
        <v>0</v>
      </c>
    </row>
    <row r="534" spans="1:5" x14ac:dyDescent="0.25">
      <c r="A534" s="3">
        <v>45485</v>
      </c>
      <c r="B534">
        <v>0</v>
      </c>
      <c r="E534">
        <v>0</v>
      </c>
    </row>
    <row r="535" spans="1:5" x14ac:dyDescent="0.25">
      <c r="A535" s="3">
        <v>45486</v>
      </c>
      <c r="B535">
        <v>0</v>
      </c>
      <c r="E535">
        <v>0</v>
      </c>
    </row>
    <row r="536" spans="1:5" x14ac:dyDescent="0.25">
      <c r="A536" s="3">
        <v>45487</v>
      </c>
      <c r="B536">
        <v>0</v>
      </c>
      <c r="E536">
        <v>0</v>
      </c>
    </row>
    <row r="537" spans="1:5" x14ac:dyDescent="0.25">
      <c r="A537" s="3">
        <v>45488</v>
      </c>
      <c r="B537">
        <v>0</v>
      </c>
      <c r="E537">
        <v>0</v>
      </c>
    </row>
    <row r="538" spans="1:5" x14ac:dyDescent="0.25">
      <c r="A538" s="3">
        <v>45489</v>
      </c>
      <c r="B538">
        <v>0</v>
      </c>
      <c r="E538">
        <v>0</v>
      </c>
    </row>
    <row r="539" spans="1:5" x14ac:dyDescent="0.25">
      <c r="A539" s="3">
        <v>45490</v>
      </c>
      <c r="B539">
        <v>0</v>
      </c>
      <c r="E539">
        <v>0</v>
      </c>
    </row>
    <row r="540" spans="1:5" x14ac:dyDescent="0.25">
      <c r="A540" s="3">
        <v>45491</v>
      </c>
      <c r="B540">
        <v>0</v>
      </c>
      <c r="E540">
        <v>0</v>
      </c>
    </row>
    <row r="541" spans="1:5" x14ac:dyDescent="0.25">
      <c r="A541" s="3">
        <v>45492</v>
      </c>
      <c r="B541">
        <v>0</v>
      </c>
      <c r="E541">
        <v>0</v>
      </c>
    </row>
    <row r="542" spans="1:5" x14ac:dyDescent="0.25">
      <c r="A542" s="3">
        <v>45493</v>
      </c>
      <c r="B542">
        <v>0</v>
      </c>
      <c r="E542">
        <v>0</v>
      </c>
    </row>
    <row r="543" spans="1:5" x14ac:dyDescent="0.25">
      <c r="A543" s="3">
        <v>45494</v>
      </c>
      <c r="B543">
        <v>0</v>
      </c>
      <c r="E543">
        <v>0</v>
      </c>
    </row>
    <row r="544" spans="1:5" x14ac:dyDescent="0.25">
      <c r="A544" s="3">
        <v>45495</v>
      </c>
      <c r="B544">
        <v>0</v>
      </c>
      <c r="E544">
        <v>0</v>
      </c>
    </row>
    <row r="545" spans="1:5" x14ac:dyDescent="0.25">
      <c r="A545" s="3">
        <v>45496</v>
      </c>
      <c r="B545">
        <v>0</v>
      </c>
      <c r="E545">
        <v>0</v>
      </c>
    </row>
    <row r="546" spans="1:5" x14ac:dyDescent="0.25">
      <c r="A546" s="3">
        <v>45497</v>
      </c>
      <c r="B546">
        <v>0</v>
      </c>
      <c r="E546">
        <v>0</v>
      </c>
    </row>
    <row r="547" spans="1:5" x14ac:dyDescent="0.25">
      <c r="A547" s="3">
        <v>45498</v>
      </c>
      <c r="B547">
        <v>0</v>
      </c>
      <c r="E547">
        <v>0</v>
      </c>
    </row>
    <row r="548" spans="1:5" x14ac:dyDescent="0.25">
      <c r="A548" s="3">
        <v>45499</v>
      </c>
      <c r="B548">
        <v>0</v>
      </c>
      <c r="E548">
        <v>0</v>
      </c>
    </row>
    <row r="549" spans="1:5" x14ac:dyDescent="0.25">
      <c r="A549" s="3">
        <v>45500</v>
      </c>
      <c r="B549">
        <v>0</v>
      </c>
      <c r="E549">
        <v>0</v>
      </c>
    </row>
    <row r="550" spans="1:5" x14ac:dyDescent="0.25">
      <c r="A550" s="3">
        <v>45501</v>
      </c>
      <c r="B550">
        <v>0</v>
      </c>
      <c r="E550">
        <v>0</v>
      </c>
    </row>
    <row r="551" spans="1:5" x14ac:dyDescent="0.25">
      <c r="A551" s="3">
        <v>45502</v>
      </c>
      <c r="B551">
        <v>0</v>
      </c>
      <c r="E551">
        <v>0</v>
      </c>
    </row>
    <row r="552" spans="1:5" x14ac:dyDescent="0.25">
      <c r="A552" s="3">
        <v>45503</v>
      </c>
      <c r="B552">
        <v>0</v>
      </c>
      <c r="E552">
        <v>0</v>
      </c>
    </row>
    <row r="553" spans="1:5" x14ac:dyDescent="0.25">
      <c r="A553" s="3">
        <v>45504</v>
      </c>
      <c r="B553">
        <v>0</v>
      </c>
      <c r="E553">
        <v>0</v>
      </c>
    </row>
    <row r="554" spans="1:5" x14ac:dyDescent="0.25">
      <c r="A554" s="3">
        <v>45505</v>
      </c>
      <c r="B554">
        <v>0</v>
      </c>
      <c r="E554">
        <v>0</v>
      </c>
    </row>
    <row r="555" spans="1:5" x14ac:dyDescent="0.25">
      <c r="A555" s="3">
        <v>45506</v>
      </c>
      <c r="B555">
        <v>0</v>
      </c>
      <c r="E555">
        <v>0</v>
      </c>
    </row>
    <row r="556" spans="1:5" x14ac:dyDescent="0.25">
      <c r="A556" s="3">
        <v>45507</v>
      </c>
      <c r="B556">
        <v>0</v>
      </c>
      <c r="E556">
        <v>0</v>
      </c>
    </row>
    <row r="557" spans="1:5" x14ac:dyDescent="0.25">
      <c r="A557" s="3">
        <v>45508</v>
      </c>
      <c r="B557">
        <v>0</v>
      </c>
      <c r="E557">
        <v>0</v>
      </c>
    </row>
    <row r="558" spans="1:5" x14ac:dyDescent="0.25">
      <c r="A558" s="3">
        <v>45509</v>
      </c>
      <c r="B558">
        <v>0</v>
      </c>
      <c r="E558">
        <v>0</v>
      </c>
    </row>
    <row r="559" spans="1:5" x14ac:dyDescent="0.25">
      <c r="A559" s="3">
        <v>45510</v>
      </c>
      <c r="B559">
        <v>0</v>
      </c>
      <c r="E559">
        <v>0</v>
      </c>
    </row>
    <row r="560" spans="1:5" x14ac:dyDescent="0.25">
      <c r="A560" s="3">
        <v>45511</v>
      </c>
      <c r="B560">
        <v>0</v>
      </c>
      <c r="E560">
        <v>0</v>
      </c>
    </row>
    <row r="561" spans="1:5" x14ac:dyDescent="0.25">
      <c r="A561" s="3">
        <v>45512</v>
      </c>
      <c r="B561">
        <v>0</v>
      </c>
      <c r="E561">
        <v>0</v>
      </c>
    </row>
    <row r="562" spans="1:5" x14ac:dyDescent="0.25">
      <c r="A562" s="3">
        <v>45513</v>
      </c>
      <c r="B562">
        <v>0</v>
      </c>
      <c r="E562">
        <v>0</v>
      </c>
    </row>
    <row r="563" spans="1:5" x14ac:dyDescent="0.25">
      <c r="A563" s="3">
        <v>45514</v>
      </c>
      <c r="B563">
        <v>0</v>
      </c>
      <c r="E563">
        <v>0</v>
      </c>
    </row>
    <row r="564" spans="1:5" x14ac:dyDescent="0.25">
      <c r="A564" s="3">
        <v>45515</v>
      </c>
      <c r="B564">
        <v>0</v>
      </c>
      <c r="E564">
        <v>0</v>
      </c>
    </row>
    <row r="565" spans="1:5" x14ac:dyDescent="0.25">
      <c r="A565" s="3">
        <v>45516</v>
      </c>
      <c r="B565">
        <v>0</v>
      </c>
      <c r="E565">
        <v>0</v>
      </c>
    </row>
    <row r="566" spans="1:5" x14ac:dyDescent="0.25">
      <c r="A566" s="3">
        <v>45517</v>
      </c>
      <c r="B566">
        <v>0</v>
      </c>
      <c r="E566">
        <v>0</v>
      </c>
    </row>
    <row r="567" spans="1:5" x14ac:dyDescent="0.25">
      <c r="A567" s="3">
        <v>45518</v>
      </c>
      <c r="B567">
        <v>0</v>
      </c>
      <c r="E567">
        <v>0</v>
      </c>
    </row>
    <row r="568" spans="1:5" x14ac:dyDescent="0.25">
      <c r="A568" s="3">
        <v>45519</v>
      </c>
      <c r="B568">
        <v>0</v>
      </c>
      <c r="E568">
        <v>0</v>
      </c>
    </row>
    <row r="569" spans="1:5" x14ac:dyDescent="0.25">
      <c r="A569" s="3">
        <v>45520</v>
      </c>
      <c r="B569">
        <v>0</v>
      </c>
      <c r="E569">
        <v>0</v>
      </c>
    </row>
    <row r="570" spans="1:5" x14ac:dyDescent="0.25">
      <c r="A570" s="3">
        <v>45521</v>
      </c>
      <c r="B570">
        <v>0</v>
      </c>
      <c r="E570">
        <v>0</v>
      </c>
    </row>
    <row r="571" spans="1:5" x14ac:dyDescent="0.25">
      <c r="A571" s="3">
        <v>45522</v>
      </c>
      <c r="B571">
        <v>0</v>
      </c>
      <c r="E571">
        <v>0</v>
      </c>
    </row>
    <row r="572" spans="1:5" x14ac:dyDescent="0.25">
      <c r="A572" s="3">
        <v>45523</v>
      </c>
      <c r="B572">
        <v>0</v>
      </c>
      <c r="E572">
        <v>0</v>
      </c>
    </row>
    <row r="573" spans="1:5" x14ac:dyDescent="0.25">
      <c r="A573" s="3">
        <v>45524</v>
      </c>
      <c r="B573">
        <v>0</v>
      </c>
      <c r="E573">
        <v>0</v>
      </c>
    </row>
    <row r="574" spans="1:5" x14ac:dyDescent="0.25">
      <c r="A574" s="3">
        <v>45525</v>
      </c>
      <c r="B574">
        <v>0</v>
      </c>
      <c r="E574">
        <v>0</v>
      </c>
    </row>
    <row r="575" spans="1:5" x14ac:dyDescent="0.25">
      <c r="A575" s="3">
        <v>45526</v>
      </c>
      <c r="B575">
        <v>0</v>
      </c>
      <c r="E575">
        <v>0</v>
      </c>
    </row>
    <row r="576" spans="1:5" x14ac:dyDescent="0.25">
      <c r="A576" s="3">
        <v>45527</v>
      </c>
      <c r="B576">
        <v>0</v>
      </c>
      <c r="E576">
        <v>0</v>
      </c>
    </row>
    <row r="577" spans="1:5" x14ac:dyDescent="0.25">
      <c r="A577" s="3">
        <v>45528</v>
      </c>
      <c r="B577">
        <v>0</v>
      </c>
      <c r="E577">
        <v>0</v>
      </c>
    </row>
    <row r="578" spans="1:5" x14ac:dyDescent="0.25">
      <c r="A578" s="3">
        <v>45529</v>
      </c>
      <c r="B578">
        <v>0</v>
      </c>
      <c r="E578">
        <v>0</v>
      </c>
    </row>
    <row r="579" spans="1:5" x14ac:dyDescent="0.25">
      <c r="A579" s="3">
        <v>45530</v>
      </c>
      <c r="B579">
        <v>0</v>
      </c>
      <c r="E579">
        <v>0</v>
      </c>
    </row>
    <row r="580" spans="1:5" x14ac:dyDescent="0.25">
      <c r="A580" s="3">
        <v>45531</v>
      </c>
      <c r="B580">
        <v>0</v>
      </c>
      <c r="E580">
        <v>0</v>
      </c>
    </row>
    <row r="581" spans="1:5" x14ac:dyDescent="0.25">
      <c r="A581" s="3">
        <v>45532</v>
      </c>
      <c r="B581">
        <v>0</v>
      </c>
      <c r="E581">
        <v>0</v>
      </c>
    </row>
    <row r="582" spans="1:5" x14ac:dyDescent="0.25">
      <c r="A582" s="3">
        <v>45533</v>
      </c>
      <c r="B582">
        <v>0</v>
      </c>
      <c r="E582">
        <v>0</v>
      </c>
    </row>
    <row r="583" spans="1:5" x14ac:dyDescent="0.25">
      <c r="A583" s="3">
        <v>45534</v>
      </c>
      <c r="B583">
        <v>0</v>
      </c>
      <c r="E583">
        <v>0</v>
      </c>
    </row>
    <row r="584" spans="1:5" x14ac:dyDescent="0.25">
      <c r="A584" s="3">
        <v>45535</v>
      </c>
      <c r="B584">
        <v>0</v>
      </c>
      <c r="E584">
        <v>0</v>
      </c>
    </row>
    <row r="585" spans="1:5" x14ac:dyDescent="0.25">
      <c r="A585" s="3">
        <v>45536</v>
      </c>
      <c r="B585">
        <v>0</v>
      </c>
      <c r="E585">
        <v>0</v>
      </c>
    </row>
    <row r="586" spans="1:5" x14ac:dyDescent="0.25">
      <c r="A586" s="3">
        <v>45537</v>
      </c>
      <c r="B586">
        <v>0</v>
      </c>
      <c r="E586">
        <v>0</v>
      </c>
    </row>
    <row r="587" spans="1:5" x14ac:dyDescent="0.25">
      <c r="A587" s="3">
        <v>45538</v>
      </c>
      <c r="B587">
        <v>0</v>
      </c>
      <c r="E587">
        <v>0</v>
      </c>
    </row>
    <row r="588" spans="1:5" x14ac:dyDescent="0.25">
      <c r="A588" s="3">
        <v>45539</v>
      </c>
      <c r="B588">
        <v>0</v>
      </c>
      <c r="E588">
        <v>0</v>
      </c>
    </row>
    <row r="589" spans="1:5" x14ac:dyDescent="0.25">
      <c r="A589" s="3">
        <v>45540</v>
      </c>
      <c r="B589">
        <v>0</v>
      </c>
      <c r="E589">
        <v>0</v>
      </c>
    </row>
    <row r="590" spans="1:5" x14ac:dyDescent="0.25">
      <c r="A590" s="3">
        <v>45541</v>
      </c>
      <c r="B590">
        <v>0</v>
      </c>
      <c r="E590">
        <v>0</v>
      </c>
    </row>
    <row r="591" spans="1:5" x14ac:dyDescent="0.25">
      <c r="A591" s="3">
        <v>45542</v>
      </c>
      <c r="B591">
        <v>0</v>
      </c>
      <c r="E591">
        <v>0</v>
      </c>
    </row>
    <row r="592" spans="1:5" x14ac:dyDescent="0.25">
      <c r="A592" s="3">
        <v>45543</v>
      </c>
      <c r="B592">
        <v>0</v>
      </c>
      <c r="E592">
        <v>0</v>
      </c>
    </row>
    <row r="593" spans="1:5" x14ac:dyDescent="0.25">
      <c r="A593" s="3">
        <v>45544</v>
      </c>
      <c r="B593">
        <v>0</v>
      </c>
      <c r="E593">
        <v>0</v>
      </c>
    </row>
    <row r="594" spans="1:5" x14ac:dyDescent="0.25">
      <c r="A594" s="3">
        <v>45545</v>
      </c>
      <c r="B594">
        <v>0</v>
      </c>
      <c r="E594">
        <v>0</v>
      </c>
    </row>
    <row r="595" spans="1:5" x14ac:dyDescent="0.25">
      <c r="A595" s="3">
        <v>45546</v>
      </c>
      <c r="B595">
        <v>0</v>
      </c>
      <c r="E595">
        <v>0</v>
      </c>
    </row>
    <row r="596" spans="1:5" x14ac:dyDescent="0.25">
      <c r="A596" s="3">
        <v>45547</v>
      </c>
      <c r="B596">
        <v>0</v>
      </c>
      <c r="E596">
        <v>0</v>
      </c>
    </row>
    <row r="597" spans="1:5" x14ac:dyDescent="0.25">
      <c r="A597" s="3">
        <v>45548</v>
      </c>
      <c r="B597">
        <v>0</v>
      </c>
      <c r="E597">
        <v>0</v>
      </c>
    </row>
    <row r="598" spans="1:5" x14ac:dyDescent="0.25">
      <c r="A598" s="3">
        <v>45549</v>
      </c>
      <c r="B598">
        <v>0</v>
      </c>
      <c r="E598">
        <v>0</v>
      </c>
    </row>
    <row r="599" spans="1:5" x14ac:dyDescent="0.25">
      <c r="A599" s="3">
        <v>45550</v>
      </c>
      <c r="B599">
        <v>0</v>
      </c>
      <c r="E599">
        <v>0</v>
      </c>
    </row>
    <row r="600" spans="1:5" x14ac:dyDescent="0.25">
      <c r="A600" s="3">
        <v>45551</v>
      </c>
      <c r="B600">
        <v>0</v>
      </c>
      <c r="E600">
        <v>0</v>
      </c>
    </row>
    <row r="601" spans="1:5" x14ac:dyDescent="0.25">
      <c r="A601" s="3">
        <v>45552</v>
      </c>
      <c r="B601">
        <v>0</v>
      </c>
      <c r="E601">
        <v>0</v>
      </c>
    </row>
    <row r="602" spans="1:5" x14ac:dyDescent="0.25">
      <c r="A602" s="3">
        <v>45553</v>
      </c>
      <c r="B602">
        <v>0</v>
      </c>
      <c r="E602">
        <v>0</v>
      </c>
    </row>
    <row r="603" spans="1:5" x14ac:dyDescent="0.25">
      <c r="A603" s="3">
        <v>45554</v>
      </c>
      <c r="B603">
        <v>0</v>
      </c>
      <c r="E603">
        <v>0</v>
      </c>
    </row>
    <row r="604" spans="1:5" x14ac:dyDescent="0.25">
      <c r="A604" s="3">
        <v>45555</v>
      </c>
      <c r="B604">
        <v>0</v>
      </c>
      <c r="E604">
        <v>0</v>
      </c>
    </row>
    <row r="605" spans="1:5" x14ac:dyDescent="0.25">
      <c r="A605" s="3">
        <v>45556</v>
      </c>
      <c r="B605">
        <v>0</v>
      </c>
      <c r="E605">
        <v>0</v>
      </c>
    </row>
    <row r="606" spans="1:5" x14ac:dyDescent="0.25">
      <c r="A606" s="3">
        <v>45557</v>
      </c>
      <c r="B606">
        <v>0</v>
      </c>
      <c r="E606">
        <v>0</v>
      </c>
    </row>
    <row r="607" spans="1:5" x14ac:dyDescent="0.25">
      <c r="A607" s="3">
        <v>45558</v>
      </c>
      <c r="B607">
        <v>0</v>
      </c>
      <c r="E607">
        <v>0</v>
      </c>
    </row>
    <row r="608" spans="1:5" x14ac:dyDescent="0.25">
      <c r="A608" s="3">
        <v>45559</v>
      </c>
      <c r="B608">
        <v>0</v>
      </c>
      <c r="E608">
        <v>0</v>
      </c>
    </row>
    <row r="609" spans="1:5" x14ac:dyDescent="0.25">
      <c r="A609" s="3">
        <v>45560</v>
      </c>
      <c r="B609">
        <v>0</v>
      </c>
      <c r="E609">
        <v>0</v>
      </c>
    </row>
    <row r="610" spans="1:5" x14ac:dyDescent="0.25">
      <c r="A610" s="3">
        <v>45561</v>
      </c>
      <c r="B610">
        <v>0</v>
      </c>
      <c r="E610">
        <v>0</v>
      </c>
    </row>
    <row r="611" spans="1:5" x14ac:dyDescent="0.25">
      <c r="A611" s="3">
        <v>45562</v>
      </c>
      <c r="B611">
        <v>0</v>
      </c>
      <c r="E611">
        <v>0</v>
      </c>
    </row>
    <row r="612" spans="1:5" x14ac:dyDescent="0.25">
      <c r="A612" s="3">
        <v>45563</v>
      </c>
      <c r="B612">
        <v>0</v>
      </c>
      <c r="E612">
        <v>0</v>
      </c>
    </row>
    <row r="613" spans="1:5" x14ac:dyDescent="0.25">
      <c r="A613" s="3">
        <v>45564</v>
      </c>
      <c r="B613">
        <v>0</v>
      </c>
      <c r="E613">
        <v>0</v>
      </c>
    </row>
    <row r="614" spans="1:5" x14ac:dyDescent="0.25">
      <c r="A614" s="3">
        <v>45565</v>
      </c>
      <c r="B614">
        <v>0</v>
      </c>
      <c r="E614">
        <v>0</v>
      </c>
    </row>
    <row r="615" spans="1:5" x14ac:dyDescent="0.25">
      <c r="A615" s="3">
        <v>45566</v>
      </c>
      <c r="B615">
        <v>0</v>
      </c>
      <c r="E615">
        <v>0</v>
      </c>
    </row>
    <row r="616" spans="1:5" x14ac:dyDescent="0.25">
      <c r="A616" s="3">
        <v>45567</v>
      </c>
      <c r="B616">
        <v>0</v>
      </c>
      <c r="E616">
        <v>0</v>
      </c>
    </row>
    <row r="617" spans="1:5" x14ac:dyDescent="0.25">
      <c r="A617" s="3">
        <v>45568</v>
      </c>
      <c r="B617">
        <v>0</v>
      </c>
      <c r="E617">
        <v>0</v>
      </c>
    </row>
    <row r="618" spans="1:5" x14ac:dyDescent="0.25">
      <c r="A618" s="3">
        <v>45569</v>
      </c>
      <c r="B618">
        <v>0</v>
      </c>
      <c r="E618">
        <v>0</v>
      </c>
    </row>
    <row r="619" spans="1:5" x14ac:dyDescent="0.25">
      <c r="A619" s="3">
        <v>45570</v>
      </c>
      <c r="B619">
        <v>0</v>
      </c>
      <c r="E619">
        <v>0</v>
      </c>
    </row>
    <row r="620" spans="1:5" x14ac:dyDescent="0.25">
      <c r="A620" s="3">
        <v>45571</v>
      </c>
      <c r="B620">
        <v>0</v>
      </c>
      <c r="E620">
        <v>0</v>
      </c>
    </row>
    <row r="621" spans="1:5" x14ac:dyDescent="0.25">
      <c r="A621" s="3">
        <v>45572</v>
      </c>
      <c r="B621">
        <v>0</v>
      </c>
      <c r="E621">
        <v>0</v>
      </c>
    </row>
    <row r="622" spans="1:5" x14ac:dyDescent="0.25">
      <c r="A622" s="3">
        <v>45573</v>
      </c>
      <c r="B622">
        <v>0</v>
      </c>
      <c r="E622">
        <v>0</v>
      </c>
    </row>
    <row r="623" spans="1:5" x14ac:dyDescent="0.25">
      <c r="A623" s="3">
        <v>45574</v>
      </c>
      <c r="B623">
        <v>0</v>
      </c>
      <c r="E623">
        <v>0</v>
      </c>
    </row>
    <row r="624" spans="1:5" x14ac:dyDescent="0.25">
      <c r="A624" s="3">
        <v>45575</v>
      </c>
      <c r="B624">
        <v>0</v>
      </c>
      <c r="E624">
        <v>0</v>
      </c>
    </row>
    <row r="625" spans="1:5" x14ac:dyDescent="0.25">
      <c r="A625" s="3">
        <v>45576</v>
      </c>
      <c r="B625">
        <v>0</v>
      </c>
      <c r="E625">
        <v>0</v>
      </c>
    </row>
    <row r="626" spans="1:5" x14ac:dyDescent="0.25">
      <c r="A626" s="3">
        <v>45577</v>
      </c>
      <c r="B626">
        <v>0</v>
      </c>
      <c r="E626">
        <v>0</v>
      </c>
    </row>
    <row r="627" spans="1:5" x14ac:dyDescent="0.25">
      <c r="A627" s="3">
        <v>45578</v>
      </c>
      <c r="B627">
        <v>0</v>
      </c>
      <c r="E627">
        <v>0</v>
      </c>
    </row>
    <row r="628" spans="1:5" x14ac:dyDescent="0.25">
      <c r="A628" s="3">
        <v>45579</v>
      </c>
      <c r="B628">
        <v>0</v>
      </c>
      <c r="E628">
        <v>0</v>
      </c>
    </row>
    <row r="629" spans="1:5" x14ac:dyDescent="0.25">
      <c r="A629" s="3">
        <v>45580</v>
      </c>
      <c r="B629">
        <v>0</v>
      </c>
      <c r="E629">
        <v>0</v>
      </c>
    </row>
    <row r="630" spans="1:5" x14ac:dyDescent="0.25">
      <c r="A630" s="3">
        <v>45581</v>
      </c>
      <c r="B630">
        <v>0</v>
      </c>
      <c r="E630">
        <v>0</v>
      </c>
    </row>
    <row r="631" spans="1:5" x14ac:dyDescent="0.25">
      <c r="A631" s="3">
        <v>45582</v>
      </c>
      <c r="B631">
        <v>0</v>
      </c>
      <c r="E631">
        <v>0</v>
      </c>
    </row>
    <row r="632" spans="1:5" x14ac:dyDescent="0.25">
      <c r="A632" s="3">
        <v>45583</v>
      </c>
      <c r="B632">
        <v>0</v>
      </c>
      <c r="E632">
        <v>0</v>
      </c>
    </row>
    <row r="633" spans="1:5" x14ac:dyDescent="0.25">
      <c r="A633" s="3">
        <v>45584</v>
      </c>
      <c r="B633">
        <v>0</v>
      </c>
      <c r="E633">
        <v>0</v>
      </c>
    </row>
    <row r="634" spans="1:5" x14ac:dyDescent="0.25">
      <c r="A634" s="3">
        <v>45585</v>
      </c>
      <c r="B634">
        <v>0</v>
      </c>
      <c r="E634">
        <v>0</v>
      </c>
    </row>
    <row r="635" spans="1:5" x14ac:dyDescent="0.25">
      <c r="A635" s="3">
        <v>45586</v>
      </c>
      <c r="B635">
        <v>0</v>
      </c>
      <c r="E635">
        <v>0</v>
      </c>
    </row>
    <row r="636" spans="1:5" x14ac:dyDescent="0.25">
      <c r="A636" s="3">
        <v>45587</v>
      </c>
      <c r="B636">
        <v>0</v>
      </c>
      <c r="E636">
        <v>0</v>
      </c>
    </row>
    <row r="637" spans="1:5" x14ac:dyDescent="0.25">
      <c r="A637" s="3">
        <v>45588</v>
      </c>
      <c r="B637">
        <v>0</v>
      </c>
      <c r="E637">
        <v>0</v>
      </c>
    </row>
    <row r="638" spans="1:5" x14ac:dyDescent="0.25">
      <c r="A638" s="3">
        <v>45589</v>
      </c>
      <c r="B638">
        <v>0</v>
      </c>
      <c r="E638">
        <v>0</v>
      </c>
    </row>
    <row r="639" spans="1:5" x14ac:dyDescent="0.25">
      <c r="A639" s="3">
        <v>45590</v>
      </c>
      <c r="B639">
        <v>0</v>
      </c>
      <c r="E639">
        <v>0</v>
      </c>
    </row>
    <row r="640" spans="1:5" x14ac:dyDescent="0.25">
      <c r="A640" s="3">
        <v>45591</v>
      </c>
      <c r="B640">
        <v>0</v>
      </c>
      <c r="E640">
        <v>0</v>
      </c>
    </row>
    <row r="641" spans="1:5" x14ac:dyDescent="0.25">
      <c r="A641" s="3">
        <v>45592</v>
      </c>
      <c r="B641">
        <v>0</v>
      </c>
      <c r="E641">
        <v>0</v>
      </c>
    </row>
    <row r="642" spans="1:5" x14ac:dyDescent="0.25">
      <c r="A642" s="3">
        <v>45593</v>
      </c>
      <c r="B642">
        <v>0</v>
      </c>
      <c r="E642">
        <v>0</v>
      </c>
    </row>
    <row r="643" spans="1:5" x14ac:dyDescent="0.25">
      <c r="A643" s="3">
        <v>45594</v>
      </c>
      <c r="B643">
        <v>0</v>
      </c>
      <c r="E643">
        <v>0</v>
      </c>
    </row>
    <row r="644" spans="1:5" x14ac:dyDescent="0.25">
      <c r="A644" s="3">
        <v>45595</v>
      </c>
      <c r="B644">
        <v>0</v>
      </c>
      <c r="E644">
        <v>0</v>
      </c>
    </row>
    <row r="645" spans="1:5" x14ac:dyDescent="0.25">
      <c r="A645" s="3">
        <v>45596</v>
      </c>
      <c r="B645">
        <v>0</v>
      </c>
      <c r="E645">
        <v>0</v>
      </c>
    </row>
    <row r="646" spans="1:5" x14ac:dyDescent="0.25">
      <c r="A646" s="3">
        <v>45597</v>
      </c>
      <c r="B646">
        <v>0</v>
      </c>
      <c r="E646">
        <v>0</v>
      </c>
    </row>
    <row r="647" spans="1:5" x14ac:dyDescent="0.25">
      <c r="A647" s="3">
        <v>45598</v>
      </c>
      <c r="B647">
        <v>0</v>
      </c>
      <c r="E647">
        <v>0</v>
      </c>
    </row>
    <row r="648" spans="1:5" x14ac:dyDescent="0.25">
      <c r="A648" s="3">
        <v>45599</v>
      </c>
      <c r="B648">
        <v>0</v>
      </c>
      <c r="E648">
        <v>0</v>
      </c>
    </row>
    <row r="649" spans="1:5" x14ac:dyDescent="0.25">
      <c r="A649" s="3">
        <v>45600</v>
      </c>
      <c r="B649">
        <v>0</v>
      </c>
      <c r="E649">
        <v>0</v>
      </c>
    </row>
    <row r="650" spans="1:5" x14ac:dyDescent="0.25">
      <c r="A650" s="3">
        <v>45601</v>
      </c>
      <c r="B650">
        <v>0</v>
      </c>
      <c r="E650">
        <v>0</v>
      </c>
    </row>
    <row r="651" spans="1:5" x14ac:dyDescent="0.25">
      <c r="A651" s="3">
        <v>45602</v>
      </c>
      <c r="B651">
        <v>0</v>
      </c>
      <c r="E651">
        <v>0</v>
      </c>
    </row>
    <row r="652" spans="1:5" x14ac:dyDescent="0.25">
      <c r="A652" s="3">
        <v>45603</v>
      </c>
      <c r="B652">
        <v>0</v>
      </c>
      <c r="E652">
        <v>0</v>
      </c>
    </row>
    <row r="653" spans="1:5" x14ac:dyDescent="0.25">
      <c r="A653" s="3">
        <v>45604</v>
      </c>
      <c r="B653">
        <v>0</v>
      </c>
      <c r="E653">
        <v>0</v>
      </c>
    </row>
    <row r="654" spans="1:5" x14ac:dyDescent="0.25">
      <c r="A654" s="3">
        <v>45605</v>
      </c>
      <c r="B654">
        <v>0</v>
      </c>
      <c r="E654">
        <v>0</v>
      </c>
    </row>
    <row r="655" spans="1:5" x14ac:dyDescent="0.25">
      <c r="A655" s="3">
        <v>45606</v>
      </c>
      <c r="B655">
        <v>0</v>
      </c>
      <c r="E655">
        <v>0</v>
      </c>
    </row>
    <row r="656" spans="1:5" x14ac:dyDescent="0.25">
      <c r="A656" s="3">
        <v>45607</v>
      </c>
      <c r="B656">
        <v>0</v>
      </c>
      <c r="E656">
        <v>0</v>
      </c>
    </row>
    <row r="657" spans="1:18" x14ac:dyDescent="0.25">
      <c r="A657" s="3">
        <v>45608</v>
      </c>
      <c r="B657">
        <v>0</v>
      </c>
      <c r="E657">
        <v>0</v>
      </c>
    </row>
    <row r="658" spans="1:18" x14ac:dyDescent="0.25">
      <c r="A658" s="3">
        <v>45609</v>
      </c>
      <c r="B658">
        <v>0</v>
      </c>
      <c r="E658">
        <v>0</v>
      </c>
    </row>
    <row r="659" spans="1:18" x14ac:dyDescent="0.25">
      <c r="A659" s="3">
        <v>45610</v>
      </c>
      <c r="B659">
        <v>0</v>
      </c>
      <c r="E659">
        <v>0</v>
      </c>
    </row>
    <row r="660" spans="1:18" x14ac:dyDescent="0.25">
      <c r="A660" s="3">
        <v>45611</v>
      </c>
      <c r="B660">
        <v>0</v>
      </c>
      <c r="E660">
        <v>0</v>
      </c>
    </row>
    <row r="661" spans="1:18" x14ac:dyDescent="0.25">
      <c r="A661" s="3">
        <v>45612</v>
      </c>
      <c r="B661">
        <v>0</v>
      </c>
      <c r="E661">
        <v>0</v>
      </c>
    </row>
    <row r="662" spans="1:18" x14ac:dyDescent="0.25">
      <c r="A662" s="3">
        <v>45613</v>
      </c>
      <c r="B662">
        <v>0</v>
      </c>
      <c r="E662">
        <v>0</v>
      </c>
    </row>
    <row r="663" spans="1:18" x14ac:dyDescent="0.25">
      <c r="A663" s="3">
        <v>45614</v>
      </c>
      <c r="B663">
        <v>0</v>
      </c>
      <c r="E663">
        <v>0</v>
      </c>
    </row>
    <row r="664" spans="1:18" x14ac:dyDescent="0.25">
      <c r="A664" s="3">
        <v>45615</v>
      </c>
      <c r="B664">
        <v>0</v>
      </c>
      <c r="E664">
        <v>0</v>
      </c>
    </row>
    <row r="665" spans="1:18" x14ac:dyDescent="0.25">
      <c r="A665" s="3">
        <v>45616</v>
      </c>
      <c r="B665">
        <v>0</v>
      </c>
      <c r="E665">
        <v>0</v>
      </c>
    </row>
    <row r="666" spans="1:18" x14ac:dyDescent="0.25">
      <c r="A666" s="3">
        <v>45617</v>
      </c>
      <c r="B666">
        <v>0</v>
      </c>
      <c r="E666">
        <v>0</v>
      </c>
      <c r="R666">
        <v>0</v>
      </c>
    </row>
    <row r="667" spans="1:18" x14ac:dyDescent="0.25">
      <c r="A667" s="3">
        <v>45618</v>
      </c>
      <c r="B667">
        <v>0</v>
      </c>
      <c r="E667">
        <v>0</v>
      </c>
    </row>
    <row r="668" spans="1:18" x14ac:dyDescent="0.25">
      <c r="A668" s="3">
        <v>45619</v>
      </c>
      <c r="B668">
        <v>0</v>
      </c>
      <c r="E668">
        <v>0</v>
      </c>
    </row>
    <row r="669" spans="1:18" x14ac:dyDescent="0.25">
      <c r="A669" s="3">
        <v>45620</v>
      </c>
      <c r="B669">
        <v>0</v>
      </c>
      <c r="E669">
        <v>0</v>
      </c>
    </row>
    <row r="670" spans="1:18" x14ac:dyDescent="0.25">
      <c r="A670" s="3">
        <v>45621</v>
      </c>
      <c r="B670">
        <v>0</v>
      </c>
      <c r="E670">
        <v>0</v>
      </c>
    </row>
    <row r="671" spans="1:18" x14ac:dyDescent="0.25">
      <c r="A671" s="3">
        <v>45622</v>
      </c>
      <c r="B671">
        <v>0</v>
      </c>
      <c r="E671">
        <v>0</v>
      </c>
    </row>
    <row r="672" spans="1:18" x14ac:dyDescent="0.25">
      <c r="A672" s="3">
        <v>45623</v>
      </c>
      <c r="B672">
        <v>0</v>
      </c>
      <c r="E672">
        <v>0</v>
      </c>
    </row>
    <row r="673" spans="1:5" x14ac:dyDescent="0.25">
      <c r="A673" s="3">
        <v>45624</v>
      </c>
      <c r="B673">
        <v>0</v>
      </c>
      <c r="E673">
        <v>0</v>
      </c>
    </row>
    <row r="674" spans="1:5" x14ac:dyDescent="0.25">
      <c r="A674" s="3">
        <v>45625</v>
      </c>
      <c r="B674">
        <v>0</v>
      </c>
      <c r="E674">
        <v>0</v>
      </c>
    </row>
    <row r="675" spans="1:5" x14ac:dyDescent="0.25">
      <c r="A675" s="3">
        <v>45626</v>
      </c>
      <c r="B675">
        <v>0</v>
      </c>
      <c r="E675">
        <v>0</v>
      </c>
    </row>
    <row r="676" spans="1:5" x14ac:dyDescent="0.25">
      <c r="A676" s="3">
        <v>45627</v>
      </c>
      <c r="B676">
        <v>0</v>
      </c>
      <c r="E676">
        <f t="shared" si="5"/>
        <v>0</v>
      </c>
    </row>
    <row r="677" spans="1:5" x14ac:dyDescent="0.25">
      <c r="A677" s="3">
        <v>45628</v>
      </c>
      <c r="B677">
        <v>0</v>
      </c>
      <c r="E677">
        <f t="shared" si="5"/>
        <v>0</v>
      </c>
    </row>
    <row r="678" spans="1:5" x14ac:dyDescent="0.25">
      <c r="A678" s="3">
        <v>45629</v>
      </c>
      <c r="B678">
        <v>0</v>
      </c>
      <c r="E678">
        <f t="shared" si="5"/>
        <v>0</v>
      </c>
    </row>
    <row r="679" spans="1:5" x14ac:dyDescent="0.25">
      <c r="A679" s="3">
        <v>45630</v>
      </c>
      <c r="B679">
        <v>0</v>
      </c>
      <c r="E679">
        <f t="shared" si="5"/>
        <v>0</v>
      </c>
    </row>
    <row r="680" spans="1:5" x14ac:dyDescent="0.25">
      <c r="A680" s="3">
        <v>45631</v>
      </c>
      <c r="B680">
        <v>0</v>
      </c>
      <c r="E680">
        <f t="shared" si="5"/>
        <v>0</v>
      </c>
    </row>
    <row r="681" spans="1:5" x14ac:dyDescent="0.25">
      <c r="A681" s="3">
        <v>45632</v>
      </c>
      <c r="B681">
        <v>0</v>
      </c>
      <c r="E681">
        <f t="shared" si="5"/>
        <v>0</v>
      </c>
    </row>
    <row r="682" spans="1:5" x14ac:dyDescent="0.25">
      <c r="A682" s="3">
        <v>45633</v>
      </c>
      <c r="B682">
        <v>0</v>
      </c>
      <c r="E682">
        <f t="shared" si="5"/>
        <v>0</v>
      </c>
    </row>
    <row r="683" spans="1:5" x14ac:dyDescent="0.25">
      <c r="A683" s="3">
        <v>45634</v>
      </c>
      <c r="B683">
        <v>0</v>
      </c>
      <c r="E683">
        <f t="shared" si="5"/>
        <v>0</v>
      </c>
    </row>
    <row r="684" spans="1:5" x14ac:dyDescent="0.25">
      <c r="A684" s="3">
        <v>45635</v>
      </c>
      <c r="B684">
        <v>0</v>
      </c>
      <c r="E684">
        <f t="shared" ref="E684:E747" si="6">(AVERAGE(B678:B684))*(20/7)</f>
        <v>0</v>
      </c>
    </row>
    <row r="685" spans="1:5" x14ac:dyDescent="0.25">
      <c r="A685" s="3">
        <v>45636</v>
      </c>
      <c r="B685">
        <v>0</v>
      </c>
      <c r="E685">
        <f t="shared" si="6"/>
        <v>0</v>
      </c>
    </row>
    <row r="686" spans="1:5" x14ac:dyDescent="0.25">
      <c r="A686" s="3">
        <v>45637</v>
      </c>
      <c r="B686">
        <v>0</v>
      </c>
      <c r="E686">
        <f t="shared" si="6"/>
        <v>0</v>
      </c>
    </row>
    <row r="687" spans="1:5" x14ac:dyDescent="0.25">
      <c r="A687" s="3">
        <v>45638</v>
      </c>
      <c r="B687">
        <v>0</v>
      </c>
      <c r="E687">
        <f t="shared" si="6"/>
        <v>0</v>
      </c>
    </row>
    <row r="688" spans="1:5" x14ac:dyDescent="0.25">
      <c r="A688" s="3">
        <v>45639</v>
      </c>
      <c r="B688">
        <v>0</v>
      </c>
      <c r="E688">
        <f t="shared" si="6"/>
        <v>0</v>
      </c>
    </row>
    <row r="689" spans="1:5" x14ac:dyDescent="0.25">
      <c r="A689" s="3">
        <v>45640</v>
      </c>
      <c r="B689">
        <v>0</v>
      </c>
      <c r="E689">
        <f t="shared" si="6"/>
        <v>0</v>
      </c>
    </row>
    <row r="690" spans="1:5" x14ac:dyDescent="0.25">
      <c r="A690" s="3">
        <v>45641</v>
      </c>
      <c r="B690">
        <v>0</v>
      </c>
      <c r="E690">
        <f t="shared" si="6"/>
        <v>0</v>
      </c>
    </row>
    <row r="691" spans="1:5" x14ac:dyDescent="0.25">
      <c r="A691" s="3">
        <v>45642</v>
      </c>
      <c r="B691">
        <v>0</v>
      </c>
      <c r="E691">
        <f t="shared" si="6"/>
        <v>0</v>
      </c>
    </row>
    <row r="692" spans="1:5" x14ac:dyDescent="0.25">
      <c r="A692" s="3">
        <v>45643</v>
      </c>
      <c r="B692">
        <v>0</v>
      </c>
      <c r="E692">
        <f t="shared" si="6"/>
        <v>0</v>
      </c>
    </row>
    <row r="693" spans="1:5" x14ac:dyDescent="0.25">
      <c r="A693" s="3">
        <v>45644</v>
      </c>
      <c r="B693">
        <v>0</v>
      </c>
      <c r="E693">
        <f t="shared" si="6"/>
        <v>0</v>
      </c>
    </row>
    <row r="694" spans="1:5" x14ac:dyDescent="0.25">
      <c r="A694" s="3">
        <v>45645</v>
      </c>
      <c r="B694">
        <v>0</v>
      </c>
      <c r="E694">
        <f t="shared" si="6"/>
        <v>0</v>
      </c>
    </row>
    <row r="695" spans="1:5" x14ac:dyDescent="0.25">
      <c r="A695" s="3">
        <v>45646</v>
      </c>
      <c r="B695">
        <v>0</v>
      </c>
      <c r="E695">
        <f t="shared" si="6"/>
        <v>0</v>
      </c>
    </row>
    <row r="696" spans="1:5" x14ac:dyDescent="0.25">
      <c r="A696" s="3">
        <v>45647</v>
      </c>
      <c r="B696">
        <v>0</v>
      </c>
      <c r="E696">
        <f t="shared" si="6"/>
        <v>0</v>
      </c>
    </row>
    <row r="697" spans="1:5" x14ac:dyDescent="0.25">
      <c r="A697" s="3">
        <v>45648</v>
      </c>
      <c r="B697">
        <v>0</v>
      </c>
      <c r="E697">
        <f t="shared" si="6"/>
        <v>0</v>
      </c>
    </row>
    <row r="698" spans="1:5" x14ac:dyDescent="0.25">
      <c r="A698" s="3">
        <v>45649</v>
      </c>
      <c r="B698">
        <v>0</v>
      </c>
      <c r="E698">
        <f t="shared" si="6"/>
        <v>0</v>
      </c>
    </row>
    <row r="699" spans="1:5" x14ac:dyDescent="0.25">
      <c r="A699" s="3">
        <v>45650</v>
      </c>
      <c r="B699">
        <v>0</v>
      </c>
      <c r="E699">
        <f t="shared" si="6"/>
        <v>0</v>
      </c>
    </row>
    <row r="700" spans="1:5" x14ac:dyDescent="0.25">
      <c r="A700" s="3">
        <v>45651</v>
      </c>
      <c r="B700">
        <v>0</v>
      </c>
      <c r="E700">
        <f t="shared" si="6"/>
        <v>0</v>
      </c>
    </row>
    <row r="701" spans="1:5" x14ac:dyDescent="0.25">
      <c r="A701" s="3">
        <v>45652</v>
      </c>
      <c r="B701">
        <v>0</v>
      </c>
      <c r="E701">
        <f t="shared" si="6"/>
        <v>0</v>
      </c>
    </row>
    <row r="702" spans="1:5" x14ac:dyDescent="0.25">
      <c r="A702" s="3">
        <v>45653</v>
      </c>
      <c r="B702">
        <v>1</v>
      </c>
      <c r="E702">
        <f t="shared" si="6"/>
        <v>0.40816326530612246</v>
      </c>
    </row>
    <row r="703" spans="1:5" x14ac:dyDescent="0.25">
      <c r="A703" s="3">
        <v>45654</v>
      </c>
      <c r="B703">
        <v>1</v>
      </c>
      <c r="E703">
        <f t="shared" si="6"/>
        <v>0.81632653061224492</v>
      </c>
    </row>
    <row r="704" spans="1:5" x14ac:dyDescent="0.25">
      <c r="A704" s="3">
        <v>45655</v>
      </c>
      <c r="B704">
        <v>1</v>
      </c>
      <c r="E704">
        <f t="shared" si="6"/>
        <v>1.2244897959183674</v>
      </c>
    </row>
    <row r="705" spans="1:5" x14ac:dyDescent="0.25">
      <c r="A705" s="3">
        <v>45656</v>
      </c>
      <c r="B705">
        <v>1</v>
      </c>
      <c r="E705">
        <f t="shared" si="6"/>
        <v>1.6326530612244898</v>
      </c>
    </row>
    <row r="706" spans="1:5" x14ac:dyDescent="0.25">
      <c r="A706" s="3">
        <v>45657</v>
      </c>
      <c r="B706">
        <v>1</v>
      </c>
      <c r="E706">
        <f t="shared" si="6"/>
        <v>2.0408163265306123</v>
      </c>
    </row>
    <row r="707" spans="1:5" x14ac:dyDescent="0.25">
      <c r="A707" s="3">
        <v>45658</v>
      </c>
      <c r="B707">
        <v>1</v>
      </c>
      <c r="E707">
        <f t="shared" si="6"/>
        <v>2.4489795918367347</v>
      </c>
    </row>
    <row r="708" spans="1:5" x14ac:dyDescent="0.25">
      <c r="A708" s="3">
        <v>45659</v>
      </c>
      <c r="B708">
        <v>1</v>
      </c>
      <c r="E708">
        <f t="shared" si="6"/>
        <v>2.8571428571428572</v>
      </c>
    </row>
    <row r="709" spans="1:5" x14ac:dyDescent="0.25">
      <c r="A709" s="3">
        <v>45660</v>
      </c>
      <c r="B709">
        <v>1</v>
      </c>
      <c r="E709">
        <f t="shared" si="6"/>
        <v>2.8571428571428572</v>
      </c>
    </row>
    <row r="710" spans="1:5" x14ac:dyDescent="0.25">
      <c r="A710" s="3">
        <v>45661</v>
      </c>
      <c r="B710">
        <v>1</v>
      </c>
      <c r="E710">
        <f t="shared" si="6"/>
        <v>2.8571428571428572</v>
      </c>
    </row>
    <row r="711" spans="1:5" x14ac:dyDescent="0.25">
      <c r="A711" s="3">
        <v>45662</v>
      </c>
      <c r="B711">
        <v>1</v>
      </c>
      <c r="E711">
        <f t="shared" si="6"/>
        <v>2.8571428571428572</v>
      </c>
    </row>
    <row r="712" spans="1:5" x14ac:dyDescent="0.25">
      <c r="A712" s="3">
        <v>45663</v>
      </c>
      <c r="B712">
        <v>1</v>
      </c>
      <c r="E712">
        <f t="shared" si="6"/>
        <v>2.8571428571428572</v>
      </c>
    </row>
    <row r="713" spans="1:5" x14ac:dyDescent="0.25">
      <c r="A713" s="3">
        <v>45664</v>
      </c>
      <c r="B713">
        <v>1</v>
      </c>
      <c r="E713">
        <f t="shared" si="6"/>
        <v>2.8571428571428572</v>
      </c>
    </row>
    <row r="714" spans="1:5" x14ac:dyDescent="0.25">
      <c r="A714" s="3">
        <v>45665</v>
      </c>
      <c r="B714">
        <v>1</v>
      </c>
      <c r="E714">
        <f t="shared" si="6"/>
        <v>2.8571428571428572</v>
      </c>
    </row>
    <row r="715" spans="1:5" x14ac:dyDescent="0.25">
      <c r="A715" s="3">
        <v>45666</v>
      </c>
      <c r="B715">
        <v>1</v>
      </c>
      <c r="E715">
        <f t="shared" si="6"/>
        <v>2.8571428571428572</v>
      </c>
    </row>
    <row r="716" spans="1:5" x14ac:dyDescent="0.25">
      <c r="A716" s="3">
        <v>45667</v>
      </c>
      <c r="B716">
        <v>1</v>
      </c>
      <c r="E716">
        <f t="shared" si="6"/>
        <v>2.8571428571428572</v>
      </c>
    </row>
    <row r="717" spans="1:5" x14ac:dyDescent="0.25">
      <c r="A717" s="3">
        <v>45668</v>
      </c>
      <c r="B717">
        <v>1</v>
      </c>
      <c r="E717">
        <f t="shared" si="6"/>
        <v>2.8571428571428572</v>
      </c>
    </row>
    <row r="718" spans="1:5" x14ac:dyDescent="0.25">
      <c r="A718" s="3">
        <v>45669</v>
      </c>
      <c r="B718">
        <v>1</v>
      </c>
      <c r="E718">
        <f t="shared" si="6"/>
        <v>2.8571428571428572</v>
      </c>
    </row>
    <row r="719" spans="1:5" x14ac:dyDescent="0.25">
      <c r="A719" s="3">
        <v>45670</v>
      </c>
      <c r="B719">
        <v>1</v>
      </c>
      <c r="E719">
        <f t="shared" si="6"/>
        <v>2.8571428571428572</v>
      </c>
    </row>
    <row r="720" spans="1:5" x14ac:dyDescent="0.25">
      <c r="A720" s="3">
        <v>45671</v>
      </c>
      <c r="B720">
        <v>1</v>
      </c>
      <c r="E720">
        <f t="shared" si="6"/>
        <v>2.8571428571428572</v>
      </c>
    </row>
    <row r="721" spans="1:5" x14ac:dyDescent="0.25">
      <c r="A721" s="3">
        <v>45672</v>
      </c>
      <c r="B721">
        <v>1</v>
      </c>
      <c r="E721">
        <f t="shared" si="6"/>
        <v>2.8571428571428572</v>
      </c>
    </row>
    <row r="722" spans="1:5" x14ac:dyDescent="0.25">
      <c r="A722" s="3">
        <v>45673</v>
      </c>
      <c r="B722">
        <v>1</v>
      </c>
      <c r="E722">
        <f t="shared" si="6"/>
        <v>2.8571428571428572</v>
      </c>
    </row>
    <row r="723" spans="1:5" x14ac:dyDescent="0.25">
      <c r="A723" s="3">
        <v>45674</v>
      </c>
      <c r="B723">
        <v>1</v>
      </c>
      <c r="E723">
        <f t="shared" si="6"/>
        <v>2.8571428571428572</v>
      </c>
    </row>
    <row r="724" spans="1:5" x14ac:dyDescent="0.25">
      <c r="A724" s="3">
        <v>45675</v>
      </c>
      <c r="B724">
        <v>1</v>
      </c>
      <c r="E724">
        <f t="shared" si="6"/>
        <v>2.8571428571428572</v>
      </c>
    </row>
    <row r="725" spans="1:5" x14ac:dyDescent="0.25">
      <c r="A725" s="3">
        <v>45676</v>
      </c>
      <c r="B725">
        <v>1</v>
      </c>
      <c r="E725">
        <f t="shared" si="6"/>
        <v>2.8571428571428572</v>
      </c>
    </row>
    <row r="726" spans="1:5" x14ac:dyDescent="0.25">
      <c r="A726" s="3">
        <v>45677</v>
      </c>
      <c r="B726">
        <v>1</v>
      </c>
      <c r="E726">
        <f t="shared" si="6"/>
        <v>2.8571428571428572</v>
      </c>
    </row>
    <row r="727" spans="1:5" x14ac:dyDescent="0.25">
      <c r="A727" s="3">
        <v>45678</v>
      </c>
      <c r="B727">
        <v>3</v>
      </c>
      <c r="E727">
        <f t="shared" si="6"/>
        <v>3.6734693877551026</v>
      </c>
    </row>
    <row r="728" spans="1:5" x14ac:dyDescent="0.25">
      <c r="A728" s="3">
        <v>45679</v>
      </c>
      <c r="B728">
        <v>4</v>
      </c>
      <c r="E728">
        <f t="shared" si="6"/>
        <v>4.8979591836734695</v>
      </c>
    </row>
    <row r="729" spans="1:5" x14ac:dyDescent="0.25">
      <c r="A729" s="3">
        <v>45680</v>
      </c>
      <c r="B729">
        <v>4</v>
      </c>
      <c r="E729">
        <f t="shared" si="6"/>
        <v>6.1224489795918364</v>
      </c>
    </row>
    <row r="730" spans="1:5" x14ac:dyDescent="0.25">
      <c r="A730" s="3">
        <v>45681</v>
      </c>
      <c r="B730">
        <v>5</v>
      </c>
      <c r="E730">
        <f t="shared" si="6"/>
        <v>7.7551020408163271</v>
      </c>
    </row>
    <row r="731" spans="1:5" x14ac:dyDescent="0.25">
      <c r="A731" s="3">
        <v>45682</v>
      </c>
      <c r="B731">
        <v>7</v>
      </c>
      <c r="E731">
        <f t="shared" si="6"/>
        <v>10.204081632653063</v>
      </c>
    </row>
    <row r="732" spans="1:5" x14ac:dyDescent="0.25">
      <c r="A732" s="3">
        <v>45683</v>
      </c>
      <c r="B732">
        <v>12</v>
      </c>
      <c r="E732">
        <f t="shared" si="6"/>
        <v>14.69387755102041</v>
      </c>
    </row>
    <row r="733" spans="1:5" x14ac:dyDescent="0.25">
      <c r="A733" s="3">
        <v>45684</v>
      </c>
      <c r="B733">
        <v>64</v>
      </c>
      <c r="E733">
        <f t="shared" si="6"/>
        <v>40.408163265306122</v>
      </c>
    </row>
    <row r="734" spans="1:5" x14ac:dyDescent="0.25">
      <c r="A734" s="3">
        <v>45685</v>
      </c>
      <c r="B734">
        <v>100</v>
      </c>
      <c r="E734">
        <f t="shared" si="6"/>
        <v>80</v>
      </c>
    </row>
    <row r="735" spans="1:5" x14ac:dyDescent="0.25">
      <c r="A735" s="3">
        <v>45686</v>
      </c>
      <c r="B735">
        <v>72</v>
      </c>
      <c r="E735">
        <f t="shared" si="6"/>
        <v>107.75510204081633</v>
      </c>
    </row>
    <row r="736" spans="1:5" x14ac:dyDescent="0.25">
      <c r="A736" s="3">
        <v>45687</v>
      </c>
      <c r="B736">
        <v>48</v>
      </c>
      <c r="E736">
        <f t="shared" si="6"/>
        <v>125.71428571428572</v>
      </c>
    </row>
    <row r="737" spans="1:5" x14ac:dyDescent="0.25">
      <c r="A737" s="3">
        <v>45688</v>
      </c>
      <c r="B737">
        <v>37</v>
      </c>
      <c r="E737">
        <f t="shared" si="6"/>
        <v>138.77551020408163</v>
      </c>
    </row>
    <row r="738" spans="1:5" x14ac:dyDescent="0.25">
      <c r="A738" s="3">
        <v>45689</v>
      </c>
      <c r="B738">
        <v>27</v>
      </c>
      <c r="E738">
        <f t="shared" si="6"/>
        <v>146.9387755102041</v>
      </c>
    </row>
    <row r="739" spans="1:5" x14ac:dyDescent="0.25">
      <c r="A739" s="3">
        <v>45690</v>
      </c>
      <c r="B739">
        <v>24</v>
      </c>
      <c r="E739">
        <f t="shared" si="6"/>
        <v>151.83673469387756</v>
      </c>
    </row>
    <row r="740" spans="1:5" x14ac:dyDescent="0.25">
      <c r="A740" s="3">
        <v>45691</v>
      </c>
      <c r="B740">
        <v>27</v>
      </c>
      <c r="E740">
        <f t="shared" si="6"/>
        <v>136.73469387755102</v>
      </c>
    </row>
    <row r="741" spans="1:5" x14ac:dyDescent="0.25">
      <c r="A741" s="3">
        <v>45692</v>
      </c>
      <c r="B741">
        <v>25</v>
      </c>
      <c r="E741">
        <f t="shared" si="6"/>
        <v>106.12244897959185</v>
      </c>
    </row>
    <row r="742" spans="1:5" x14ac:dyDescent="0.25">
      <c r="A742" s="3">
        <v>45693</v>
      </c>
      <c r="B742">
        <v>25</v>
      </c>
      <c r="E742">
        <f t="shared" si="6"/>
        <v>86.938775510204081</v>
      </c>
    </row>
    <row r="743" spans="1:5" x14ac:dyDescent="0.25">
      <c r="A743" s="3">
        <v>45694</v>
      </c>
      <c r="B743">
        <v>23</v>
      </c>
      <c r="E743">
        <f t="shared" si="6"/>
        <v>76.734693877551024</v>
      </c>
    </row>
    <row r="744" spans="1:5" x14ac:dyDescent="0.25">
      <c r="A744" s="3">
        <v>45695</v>
      </c>
      <c r="B744">
        <v>19</v>
      </c>
      <c r="E744">
        <f t="shared" si="6"/>
        <v>69.387755102040813</v>
      </c>
    </row>
    <row r="745" spans="1:5" x14ac:dyDescent="0.25">
      <c r="A745" s="3">
        <v>45696</v>
      </c>
      <c r="B745">
        <v>15</v>
      </c>
      <c r="E745">
        <f t="shared" si="6"/>
        <v>64.489795918367349</v>
      </c>
    </row>
    <row r="746" spans="1:5" x14ac:dyDescent="0.25">
      <c r="A746" s="3">
        <v>45697</v>
      </c>
      <c r="B746">
        <v>14</v>
      </c>
      <c r="E746">
        <f t="shared" si="6"/>
        <v>60.408163265306122</v>
      </c>
    </row>
    <row r="747" spans="1:5" x14ac:dyDescent="0.25">
      <c r="A747" s="3">
        <v>45698</v>
      </c>
      <c r="B747">
        <v>17</v>
      </c>
      <c r="E747">
        <f t="shared" si="6"/>
        <v>56.326530612244902</v>
      </c>
    </row>
    <row r="748" spans="1:5" x14ac:dyDescent="0.25">
      <c r="A748" s="3">
        <v>45699</v>
      </c>
      <c r="B748">
        <v>16</v>
      </c>
      <c r="E748">
        <f t="shared" ref="E748:E811" si="7">(AVERAGE(B742:B748))*(20/7)</f>
        <v>52.65306122448979</v>
      </c>
    </row>
    <row r="749" spans="1:5" x14ac:dyDescent="0.25">
      <c r="A749" s="3">
        <v>45700</v>
      </c>
      <c r="B749">
        <v>15</v>
      </c>
      <c r="E749">
        <f t="shared" si="7"/>
        <v>48.571428571428569</v>
      </c>
    </row>
    <row r="750" spans="1:5" x14ac:dyDescent="0.25">
      <c r="A750" s="3">
        <v>45701</v>
      </c>
      <c r="B750">
        <v>13</v>
      </c>
      <c r="E750">
        <f t="shared" si="7"/>
        <v>44.489795918367349</v>
      </c>
    </row>
    <row r="751" spans="1:5" x14ac:dyDescent="0.25">
      <c r="A751" s="3">
        <v>45702</v>
      </c>
      <c r="B751">
        <v>12</v>
      </c>
      <c r="E751">
        <f t="shared" si="7"/>
        <v>41.632653061224488</v>
      </c>
    </row>
    <row r="752" spans="1:5" x14ac:dyDescent="0.25">
      <c r="A752" s="3">
        <v>45703</v>
      </c>
      <c r="B752">
        <v>10</v>
      </c>
      <c r="E752">
        <f t="shared" si="7"/>
        <v>39.591836734693878</v>
      </c>
    </row>
    <row r="753" spans="1:5" x14ac:dyDescent="0.25">
      <c r="A753" s="3">
        <v>45704</v>
      </c>
      <c r="B753">
        <v>11</v>
      </c>
      <c r="E753">
        <f t="shared" si="7"/>
        <v>38.367346938775512</v>
      </c>
    </row>
    <row r="754" spans="1:5" x14ac:dyDescent="0.25">
      <c r="A754" s="3">
        <v>45705</v>
      </c>
      <c r="B754">
        <v>14</v>
      </c>
      <c r="E754">
        <f t="shared" si="7"/>
        <v>37.142857142857146</v>
      </c>
    </row>
    <row r="755" spans="1:5" x14ac:dyDescent="0.25">
      <c r="A755" s="3">
        <v>45706</v>
      </c>
      <c r="B755">
        <v>14</v>
      </c>
      <c r="E755">
        <f t="shared" si="7"/>
        <v>36.326530612244895</v>
      </c>
    </row>
    <row r="756" spans="1:5" x14ac:dyDescent="0.25">
      <c r="A756" s="3">
        <v>45707</v>
      </c>
      <c r="B756">
        <v>13</v>
      </c>
      <c r="E756">
        <f t="shared" si="7"/>
        <v>35.510204081632658</v>
      </c>
    </row>
    <row r="757" spans="1:5" x14ac:dyDescent="0.25">
      <c r="A757" s="3">
        <v>45708</v>
      </c>
      <c r="B757">
        <v>12</v>
      </c>
      <c r="E757">
        <f t="shared" si="7"/>
        <v>35.102040816326536</v>
      </c>
    </row>
    <row r="758" spans="1:5" x14ac:dyDescent="0.25">
      <c r="A758" s="3">
        <v>45709</v>
      </c>
      <c r="B758">
        <v>11</v>
      </c>
      <c r="E758">
        <f t="shared" si="7"/>
        <v>34.693877551020407</v>
      </c>
    </row>
    <row r="759" spans="1:5" x14ac:dyDescent="0.25">
      <c r="A759" s="3">
        <v>45710</v>
      </c>
      <c r="B759">
        <v>9</v>
      </c>
      <c r="E759">
        <f t="shared" si="7"/>
        <v>34.285714285714285</v>
      </c>
    </row>
    <row r="760" spans="1:5" x14ac:dyDescent="0.25">
      <c r="A760" s="3">
        <v>45711</v>
      </c>
      <c r="B760">
        <v>9</v>
      </c>
      <c r="E760">
        <f t="shared" si="7"/>
        <v>33.469387755102041</v>
      </c>
    </row>
    <row r="761" spans="1:5" x14ac:dyDescent="0.25">
      <c r="A761" s="3">
        <v>45712</v>
      </c>
      <c r="B761">
        <v>12</v>
      </c>
      <c r="E761">
        <f t="shared" si="7"/>
        <v>32.653061224489797</v>
      </c>
    </row>
    <row r="762" spans="1:5" x14ac:dyDescent="0.25">
      <c r="A762" s="3">
        <v>45713</v>
      </c>
      <c r="B762">
        <v>12</v>
      </c>
      <c r="E762">
        <f t="shared" si="7"/>
        <v>31.836734693877549</v>
      </c>
    </row>
    <row r="763" spans="1:5" x14ac:dyDescent="0.25">
      <c r="A763" s="3">
        <v>45714</v>
      </c>
      <c r="B763">
        <v>11</v>
      </c>
      <c r="E763">
        <f t="shared" si="7"/>
        <v>31.020408163265309</v>
      </c>
    </row>
    <row r="764" spans="1:5" x14ac:dyDescent="0.25">
      <c r="A764" s="3">
        <v>45715</v>
      </c>
      <c r="B764">
        <v>10</v>
      </c>
      <c r="E764">
        <f t="shared" si="7"/>
        <v>30.204081632653061</v>
      </c>
    </row>
    <row r="765" spans="1:5" x14ac:dyDescent="0.25">
      <c r="A765" s="3">
        <v>45716</v>
      </c>
      <c r="B765">
        <v>9</v>
      </c>
      <c r="E765">
        <f t="shared" si="7"/>
        <v>29.387755102040821</v>
      </c>
    </row>
    <row r="766" spans="1:5" x14ac:dyDescent="0.25">
      <c r="A766" s="3">
        <v>45717</v>
      </c>
      <c r="B766">
        <v>7</v>
      </c>
      <c r="E766">
        <f t="shared" si="7"/>
        <v>28.571428571428573</v>
      </c>
    </row>
    <row r="767" spans="1:5" x14ac:dyDescent="0.25">
      <c r="A767" s="3">
        <v>45718</v>
      </c>
      <c r="B767">
        <v>8</v>
      </c>
      <c r="E767">
        <f t="shared" si="7"/>
        <v>28.163265306122451</v>
      </c>
    </row>
    <row r="768" spans="1:5" x14ac:dyDescent="0.25">
      <c r="A768" s="3">
        <v>45719</v>
      </c>
      <c r="B768">
        <v>10</v>
      </c>
      <c r="E768">
        <f t="shared" si="7"/>
        <v>27.346938775510203</v>
      </c>
    </row>
    <row r="769" spans="1:5" x14ac:dyDescent="0.25">
      <c r="A769" s="3">
        <v>45720</v>
      </c>
      <c r="B769">
        <v>10</v>
      </c>
      <c r="E769">
        <f t="shared" si="7"/>
        <v>26.530612244897963</v>
      </c>
    </row>
    <row r="770" spans="1:5" x14ac:dyDescent="0.25">
      <c r="A770" s="3">
        <v>45721</v>
      </c>
      <c r="B770">
        <v>10</v>
      </c>
      <c r="E770">
        <f t="shared" si="7"/>
        <v>26.122448979591837</v>
      </c>
    </row>
    <row r="771" spans="1:5" x14ac:dyDescent="0.25">
      <c r="A771" s="3">
        <v>45722</v>
      </c>
      <c r="B771">
        <v>10</v>
      </c>
      <c r="E771">
        <f t="shared" si="7"/>
        <v>26.122448979591837</v>
      </c>
    </row>
    <row r="772" spans="1:5" x14ac:dyDescent="0.25">
      <c r="A772" s="3">
        <v>45723</v>
      </c>
      <c r="B772">
        <v>9</v>
      </c>
      <c r="E772">
        <f t="shared" si="7"/>
        <v>26.122448979591837</v>
      </c>
    </row>
    <row r="773" spans="1:5" x14ac:dyDescent="0.25">
      <c r="A773" s="3">
        <v>45724</v>
      </c>
      <c r="B773">
        <v>8</v>
      </c>
      <c r="E773">
        <f t="shared" si="7"/>
        <v>26.530612244897963</v>
      </c>
    </row>
    <row r="774" spans="1:5" x14ac:dyDescent="0.25">
      <c r="A774" s="3">
        <v>45725</v>
      </c>
      <c r="B774">
        <v>8</v>
      </c>
      <c r="E774">
        <f t="shared" si="7"/>
        <v>26.530612244897963</v>
      </c>
    </row>
    <row r="775" spans="1:5" x14ac:dyDescent="0.25">
      <c r="A775" s="3">
        <v>45726</v>
      </c>
      <c r="B775">
        <v>10</v>
      </c>
      <c r="E775">
        <f t="shared" si="7"/>
        <v>26.530612244897963</v>
      </c>
    </row>
    <row r="776" spans="1:5" x14ac:dyDescent="0.25">
      <c r="A776" s="3">
        <v>45727</v>
      </c>
      <c r="B776">
        <v>10</v>
      </c>
      <c r="E776">
        <f t="shared" si="7"/>
        <v>26.530612244897963</v>
      </c>
    </row>
    <row r="777" spans="1:5" x14ac:dyDescent="0.25">
      <c r="A777" s="3">
        <v>45728</v>
      </c>
      <c r="B777">
        <v>10</v>
      </c>
      <c r="E777">
        <f t="shared" si="7"/>
        <v>26.530612244897963</v>
      </c>
    </row>
    <row r="778" spans="1:5" x14ac:dyDescent="0.25">
      <c r="A778" s="3">
        <v>45729</v>
      </c>
      <c r="B778">
        <v>10</v>
      </c>
      <c r="E778">
        <f t="shared" si="7"/>
        <v>26.530612244897963</v>
      </c>
    </row>
    <row r="779" spans="1:5" x14ac:dyDescent="0.25">
      <c r="A779" s="3">
        <v>45730</v>
      </c>
      <c r="B779">
        <v>9</v>
      </c>
      <c r="E779">
        <f t="shared" si="7"/>
        <v>26.530612244897963</v>
      </c>
    </row>
    <row r="780" spans="1:5" x14ac:dyDescent="0.25">
      <c r="A780" s="3">
        <v>45731</v>
      </c>
      <c r="B780">
        <v>7</v>
      </c>
      <c r="E780">
        <f t="shared" si="7"/>
        <v>26.122448979591837</v>
      </c>
    </row>
    <row r="781" spans="1:5" x14ac:dyDescent="0.25">
      <c r="A781" s="3">
        <v>45732</v>
      </c>
      <c r="B781">
        <v>8</v>
      </c>
      <c r="E781">
        <f t="shared" si="7"/>
        <v>26.122448979591837</v>
      </c>
    </row>
    <row r="782" spans="1:5" x14ac:dyDescent="0.25">
      <c r="A782" s="3">
        <v>45733</v>
      </c>
      <c r="B782">
        <v>10</v>
      </c>
      <c r="E782">
        <f t="shared" si="7"/>
        <v>26.122448979591837</v>
      </c>
    </row>
    <row r="783" spans="1:5" x14ac:dyDescent="0.25">
      <c r="A783" s="3">
        <v>45734</v>
      </c>
      <c r="B783">
        <v>10</v>
      </c>
      <c r="E783">
        <f t="shared" si="7"/>
        <v>26.122448979591837</v>
      </c>
    </row>
    <row r="784" spans="1:5" x14ac:dyDescent="0.25">
      <c r="A784" s="3">
        <v>45735</v>
      </c>
      <c r="B784">
        <v>10</v>
      </c>
      <c r="E784">
        <f t="shared" si="7"/>
        <v>26.122448979591837</v>
      </c>
    </row>
    <row r="785" spans="1:5" x14ac:dyDescent="0.25">
      <c r="A785" s="3">
        <v>45736</v>
      </c>
      <c r="B785">
        <v>9</v>
      </c>
      <c r="E785">
        <f t="shared" si="7"/>
        <v>25.714285714285715</v>
      </c>
    </row>
    <row r="786" spans="1:5" x14ac:dyDescent="0.25">
      <c r="A786" s="3">
        <v>45737</v>
      </c>
      <c r="B786">
        <v>8</v>
      </c>
      <c r="E786">
        <f t="shared" si="7"/>
        <v>25.306122448979593</v>
      </c>
    </row>
    <row r="787" spans="1:5" x14ac:dyDescent="0.25">
      <c r="A787" s="3">
        <v>45738</v>
      </c>
      <c r="B787">
        <v>7</v>
      </c>
      <c r="E787">
        <f t="shared" si="7"/>
        <v>25.306122448979593</v>
      </c>
    </row>
    <row r="788" spans="1:5" x14ac:dyDescent="0.25">
      <c r="A788" s="3">
        <v>45739</v>
      </c>
      <c r="B788">
        <v>7</v>
      </c>
      <c r="E788">
        <f t="shared" si="7"/>
        <v>24.897959183673468</v>
      </c>
    </row>
    <row r="789" spans="1:5" x14ac:dyDescent="0.25">
      <c r="A789" s="3">
        <v>45740</v>
      </c>
      <c r="B789">
        <v>9</v>
      </c>
      <c r="E789">
        <f t="shared" si="7"/>
        <v>24.489795918367346</v>
      </c>
    </row>
    <row r="790" spans="1:5" x14ac:dyDescent="0.25">
      <c r="A790" s="3">
        <v>45741</v>
      </c>
      <c r="B790">
        <v>10</v>
      </c>
      <c r="E790">
        <f t="shared" si="7"/>
        <v>24.489795918367346</v>
      </c>
    </row>
    <row r="791" spans="1:5" x14ac:dyDescent="0.25">
      <c r="A791" s="3">
        <v>45742</v>
      </c>
      <c r="B791">
        <v>10</v>
      </c>
      <c r="E791">
        <f t="shared" si="7"/>
        <v>24.489795918367346</v>
      </c>
    </row>
    <row r="792" spans="1:5" x14ac:dyDescent="0.25">
      <c r="A792" s="3">
        <v>45743</v>
      </c>
      <c r="B792">
        <v>10</v>
      </c>
      <c r="E792">
        <f t="shared" si="7"/>
        <v>24.897959183673468</v>
      </c>
    </row>
    <row r="793" spans="1:5" x14ac:dyDescent="0.25">
      <c r="A793" s="3">
        <v>45744</v>
      </c>
      <c r="B793">
        <v>9</v>
      </c>
      <c r="E793">
        <f t="shared" si="7"/>
        <v>25.306122448979593</v>
      </c>
    </row>
    <row r="794" spans="1:5" x14ac:dyDescent="0.25">
      <c r="A794" s="3">
        <v>45745</v>
      </c>
      <c r="B794">
        <v>8</v>
      </c>
      <c r="E794">
        <f t="shared" si="7"/>
        <v>25.714285714285715</v>
      </c>
    </row>
    <row r="795" spans="1:5" x14ac:dyDescent="0.25">
      <c r="A795" s="3">
        <v>45746</v>
      </c>
      <c r="B795">
        <v>8</v>
      </c>
      <c r="E795">
        <f t="shared" si="7"/>
        <v>26.122448979591837</v>
      </c>
    </row>
    <row r="796" spans="1:5" x14ac:dyDescent="0.25">
      <c r="A796" s="3">
        <v>45747</v>
      </c>
      <c r="B796">
        <v>9</v>
      </c>
      <c r="E796">
        <f t="shared" si="7"/>
        <v>26.122448979591837</v>
      </c>
    </row>
    <row r="797" spans="1:5" x14ac:dyDescent="0.25">
      <c r="A797" s="3">
        <v>45748</v>
      </c>
      <c r="B797">
        <v>10</v>
      </c>
      <c r="E797">
        <f t="shared" si="7"/>
        <v>26.122448979591837</v>
      </c>
    </row>
    <row r="798" spans="1:5" x14ac:dyDescent="0.25">
      <c r="A798" s="3">
        <v>45749</v>
      </c>
      <c r="B798">
        <v>10</v>
      </c>
      <c r="E798">
        <f t="shared" si="7"/>
        <v>26.122448979591837</v>
      </c>
    </row>
    <row r="799" spans="1:5" x14ac:dyDescent="0.25">
      <c r="A799" s="3">
        <v>45750</v>
      </c>
      <c r="B799">
        <v>9</v>
      </c>
      <c r="E799">
        <f t="shared" si="7"/>
        <v>25.714285714285715</v>
      </c>
    </row>
    <row r="800" spans="1:5" x14ac:dyDescent="0.25">
      <c r="A800" s="3">
        <v>45751</v>
      </c>
      <c r="B800">
        <v>8</v>
      </c>
      <c r="E800">
        <f t="shared" si="7"/>
        <v>25.306122448979593</v>
      </c>
    </row>
    <row r="801" spans="1:5" x14ac:dyDescent="0.25">
      <c r="A801" s="3">
        <v>45752</v>
      </c>
      <c r="B801">
        <v>7</v>
      </c>
      <c r="E801">
        <f t="shared" si="7"/>
        <v>24.897959183673468</v>
      </c>
    </row>
    <row r="802" spans="1:5" x14ac:dyDescent="0.25">
      <c r="A802" s="3">
        <v>45753</v>
      </c>
      <c r="B802">
        <v>8</v>
      </c>
      <c r="E802">
        <f t="shared" si="7"/>
        <v>24.897959183673468</v>
      </c>
    </row>
    <row r="803" spans="1:5" x14ac:dyDescent="0.25">
      <c r="A803" s="3">
        <v>45754</v>
      </c>
      <c r="B803">
        <v>9</v>
      </c>
      <c r="E803">
        <f t="shared" si="7"/>
        <v>24.897959183673468</v>
      </c>
    </row>
    <row r="804" spans="1:5" x14ac:dyDescent="0.25">
      <c r="A804" s="3">
        <v>45755</v>
      </c>
      <c r="B804">
        <v>9</v>
      </c>
      <c r="E804">
        <f t="shared" si="7"/>
        <v>24.489795918367346</v>
      </c>
    </row>
    <row r="805" spans="1:5" x14ac:dyDescent="0.25">
      <c r="A805" s="3">
        <v>45756</v>
      </c>
      <c r="B805">
        <v>10</v>
      </c>
      <c r="E805">
        <f t="shared" si="7"/>
        <v>24.489795918367346</v>
      </c>
    </row>
    <row r="806" spans="1:5" x14ac:dyDescent="0.25">
      <c r="A806" s="3">
        <v>45757</v>
      </c>
      <c r="B806">
        <v>9</v>
      </c>
      <c r="E806">
        <f t="shared" si="7"/>
        <v>24.489795918367346</v>
      </c>
    </row>
    <row r="807" spans="1:5" x14ac:dyDescent="0.25">
      <c r="A807" s="3">
        <v>45758</v>
      </c>
      <c r="B807">
        <v>8</v>
      </c>
      <c r="E807">
        <f t="shared" si="7"/>
        <v>24.489795918367346</v>
      </c>
    </row>
    <row r="808" spans="1:5" x14ac:dyDescent="0.25">
      <c r="A808" s="3">
        <v>45759</v>
      </c>
      <c r="B808">
        <v>7</v>
      </c>
      <c r="E808">
        <f t="shared" si="7"/>
        <v>24.489795918367346</v>
      </c>
    </row>
    <row r="809" spans="1:5" x14ac:dyDescent="0.25">
      <c r="A809" s="3">
        <v>45760</v>
      </c>
      <c r="B809">
        <v>7</v>
      </c>
      <c r="E809">
        <f t="shared" si="7"/>
        <v>24.081632653061227</v>
      </c>
    </row>
    <row r="810" spans="1:5" x14ac:dyDescent="0.25">
      <c r="A810" s="3">
        <v>45761</v>
      </c>
      <c r="B810">
        <v>10</v>
      </c>
      <c r="E810">
        <f t="shared" si="7"/>
        <v>24.489795918367346</v>
      </c>
    </row>
    <row r="811" spans="1:5" x14ac:dyDescent="0.25">
      <c r="A811" s="3">
        <v>45762</v>
      </c>
      <c r="B811">
        <v>9</v>
      </c>
      <c r="E811">
        <f t="shared" si="7"/>
        <v>24.489795918367346</v>
      </c>
    </row>
    <row r="812" spans="1:5" x14ac:dyDescent="0.25">
      <c r="A812" s="3">
        <v>45763</v>
      </c>
      <c r="B812">
        <v>10</v>
      </c>
      <c r="E812">
        <f t="shared" ref="E812:E875" si="8">(AVERAGE(B806:B812))*(20/7)</f>
        <v>24.489795918367346</v>
      </c>
    </row>
    <row r="813" spans="1:5" x14ac:dyDescent="0.25">
      <c r="A813" s="3">
        <v>45764</v>
      </c>
      <c r="B813">
        <v>9</v>
      </c>
      <c r="E813">
        <f t="shared" si="8"/>
        <v>24.489795918367346</v>
      </c>
    </row>
    <row r="814" spans="1:5" x14ac:dyDescent="0.25">
      <c r="A814" s="3">
        <v>45765</v>
      </c>
      <c r="B814">
        <v>8</v>
      </c>
      <c r="E814">
        <f t="shared" si="8"/>
        <v>24.489795918367346</v>
      </c>
    </row>
    <row r="815" spans="1:5" x14ac:dyDescent="0.25">
      <c r="A815" s="3">
        <v>45766</v>
      </c>
      <c r="B815">
        <v>7</v>
      </c>
      <c r="E815">
        <f t="shared" si="8"/>
        <v>24.489795918367346</v>
      </c>
    </row>
    <row r="816" spans="1:5" x14ac:dyDescent="0.25">
      <c r="A816" s="3">
        <v>45767</v>
      </c>
      <c r="B816">
        <v>7</v>
      </c>
      <c r="E816">
        <f t="shared" si="8"/>
        <v>24.489795918367346</v>
      </c>
    </row>
    <row r="817" spans="1:5" x14ac:dyDescent="0.25">
      <c r="A817" s="3">
        <v>45768</v>
      </c>
      <c r="B817">
        <v>9</v>
      </c>
      <c r="E817">
        <f t="shared" si="8"/>
        <v>24.081632653061227</v>
      </c>
    </row>
    <row r="818" spans="1:5" x14ac:dyDescent="0.25">
      <c r="A818" s="3">
        <v>45769</v>
      </c>
      <c r="B818">
        <v>10</v>
      </c>
      <c r="E818">
        <f t="shared" si="8"/>
        <v>24.489795918367346</v>
      </c>
    </row>
    <row r="819" spans="1:5" x14ac:dyDescent="0.25">
      <c r="A819" s="3">
        <v>45770</v>
      </c>
      <c r="B819">
        <v>9</v>
      </c>
      <c r="E819">
        <f t="shared" si="8"/>
        <v>24.081632653061227</v>
      </c>
    </row>
    <row r="820" spans="1:5" x14ac:dyDescent="0.25">
      <c r="A820" s="3">
        <v>45771</v>
      </c>
      <c r="B820">
        <v>9</v>
      </c>
      <c r="E820">
        <f t="shared" si="8"/>
        <v>24.081632653061227</v>
      </c>
    </row>
    <row r="821" spans="1:5" x14ac:dyDescent="0.25">
      <c r="A821" s="3">
        <v>45772</v>
      </c>
      <c r="B821">
        <v>9</v>
      </c>
      <c r="E821">
        <f t="shared" si="8"/>
        <v>24.489795918367346</v>
      </c>
    </row>
    <row r="822" spans="1:5" x14ac:dyDescent="0.25">
      <c r="A822" s="3">
        <v>45773</v>
      </c>
      <c r="B822">
        <v>7</v>
      </c>
      <c r="E822">
        <f t="shared" si="8"/>
        <v>24.489795918367346</v>
      </c>
    </row>
    <row r="823" spans="1:5" x14ac:dyDescent="0.25">
      <c r="A823" s="3">
        <v>45774</v>
      </c>
      <c r="B823">
        <v>8</v>
      </c>
      <c r="E823">
        <f t="shared" si="8"/>
        <v>24.897959183673468</v>
      </c>
    </row>
    <row r="824" spans="1:5" x14ac:dyDescent="0.25">
      <c r="A824" s="3">
        <v>45775</v>
      </c>
      <c r="B824">
        <v>9</v>
      </c>
      <c r="E824">
        <f t="shared" si="8"/>
        <v>24.897959183673468</v>
      </c>
    </row>
    <row r="825" spans="1:5" x14ac:dyDescent="0.25">
      <c r="A825" s="3">
        <v>45776</v>
      </c>
      <c r="B825">
        <v>9</v>
      </c>
      <c r="E825">
        <f t="shared" si="8"/>
        <v>24.489795918367346</v>
      </c>
    </row>
    <row r="826" spans="1:5" x14ac:dyDescent="0.25">
      <c r="A826" s="3">
        <v>45777</v>
      </c>
      <c r="B826">
        <v>8</v>
      </c>
      <c r="E826">
        <f t="shared" si="8"/>
        <v>24.081632653061227</v>
      </c>
    </row>
    <row r="827" spans="1:5" x14ac:dyDescent="0.25">
      <c r="A827" s="3">
        <v>45778</v>
      </c>
      <c r="B827">
        <v>7</v>
      </c>
      <c r="E827">
        <f t="shared" si="8"/>
        <v>23.26530612244898</v>
      </c>
    </row>
    <row r="828" spans="1:5" x14ac:dyDescent="0.25">
      <c r="A828" s="3">
        <v>45779</v>
      </c>
      <c r="B828">
        <v>7</v>
      </c>
      <c r="E828">
        <f t="shared" si="8"/>
        <v>22.448979591836736</v>
      </c>
    </row>
    <row r="829" spans="1:5" x14ac:dyDescent="0.25">
      <c r="A829" s="3">
        <v>45780</v>
      </c>
      <c r="B829">
        <v>7</v>
      </c>
      <c r="E829">
        <f t="shared" si="8"/>
        <v>22.448979591836736</v>
      </c>
    </row>
    <row r="830" spans="1:5" x14ac:dyDescent="0.25">
      <c r="A830" s="3">
        <v>45781</v>
      </c>
      <c r="B830">
        <v>7</v>
      </c>
      <c r="E830">
        <f t="shared" si="8"/>
        <v>22.040816326530614</v>
      </c>
    </row>
    <row r="831" spans="1:5" x14ac:dyDescent="0.25">
      <c r="A831" s="3">
        <v>45782</v>
      </c>
      <c r="B831">
        <v>9</v>
      </c>
      <c r="E831">
        <f t="shared" si="8"/>
        <v>22.040816326530614</v>
      </c>
    </row>
    <row r="832" spans="1:5" x14ac:dyDescent="0.25">
      <c r="A832" s="3">
        <v>45783</v>
      </c>
      <c r="B832">
        <v>9</v>
      </c>
      <c r="E832">
        <f t="shared" si="8"/>
        <v>22.040816326530614</v>
      </c>
    </row>
    <row r="833" spans="1:5" x14ac:dyDescent="0.25">
      <c r="A833" s="3">
        <v>45784</v>
      </c>
      <c r="B833">
        <v>9</v>
      </c>
      <c r="E833">
        <f t="shared" si="8"/>
        <v>22.448979591836736</v>
      </c>
    </row>
    <row r="834" spans="1:5" x14ac:dyDescent="0.25">
      <c r="A834" s="3">
        <v>45785</v>
      </c>
      <c r="B834">
        <v>9</v>
      </c>
      <c r="E834">
        <f t="shared" si="8"/>
        <v>23.26530612244898</v>
      </c>
    </row>
    <row r="835" spans="1:5" x14ac:dyDescent="0.25">
      <c r="A835" s="3">
        <v>45786</v>
      </c>
      <c r="B835">
        <v>7</v>
      </c>
      <c r="E835">
        <f t="shared" si="8"/>
        <v>23.26530612244898</v>
      </c>
    </row>
    <row r="836" spans="1:5" x14ac:dyDescent="0.25">
      <c r="A836" s="3">
        <v>45787</v>
      </c>
      <c r="B836">
        <v>6</v>
      </c>
      <c r="E836">
        <f t="shared" si="8"/>
        <v>22.857142857142858</v>
      </c>
    </row>
    <row r="837" spans="1:5" x14ac:dyDescent="0.25">
      <c r="A837" s="3">
        <v>45788</v>
      </c>
      <c r="B837">
        <v>7</v>
      </c>
      <c r="E837">
        <f t="shared" si="8"/>
        <v>22.857142857142858</v>
      </c>
    </row>
    <row r="838" spans="1:5" x14ac:dyDescent="0.25">
      <c r="A838" s="3">
        <v>45789</v>
      </c>
      <c r="B838">
        <v>9</v>
      </c>
      <c r="E838">
        <f t="shared" si="8"/>
        <v>22.857142857142858</v>
      </c>
    </row>
    <row r="839" spans="1:5" x14ac:dyDescent="0.25">
      <c r="A839" s="3">
        <v>45790</v>
      </c>
      <c r="B839">
        <v>9</v>
      </c>
      <c r="E839">
        <f t="shared" si="8"/>
        <v>22.857142857142858</v>
      </c>
    </row>
    <row r="840" spans="1:5" x14ac:dyDescent="0.25">
      <c r="A840" s="3">
        <v>45791</v>
      </c>
      <c r="B840">
        <v>9</v>
      </c>
      <c r="E840">
        <f t="shared" si="8"/>
        <v>22.857142857142858</v>
      </c>
    </row>
    <row r="841" spans="1:5" x14ac:dyDescent="0.25">
      <c r="A841" s="3">
        <v>45792</v>
      </c>
      <c r="B841">
        <v>8</v>
      </c>
      <c r="E841">
        <f t="shared" si="8"/>
        <v>22.448979591836736</v>
      </c>
    </row>
    <row r="842" spans="1:5" x14ac:dyDescent="0.25">
      <c r="A842" s="3">
        <v>45793</v>
      </c>
      <c r="B842">
        <v>8</v>
      </c>
      <c r="E842">
        <f t="shared" si="8"/>
        <v>22.857142857142858</v>
      </c>
    </row>
    <row r="843" spans="1:5" x14ac:dyDescent="0.25">
      <c r="A843" s="3">
        <v>45794</v>
      </c>
      <c r="B843">
        <v>7</v>
      </c>
      <c r="E843">
        <f t="shared" si="8"/>
        <v>23.26530612244898</v>
      </c>
    </row>
    <row r="844" spans="1:5" x14ac:dyDescent="0.25">
      <c r="A844" s="3">
        <v>45795</v>
      </c>
      <c r="B844">
        <v>7</v>
      </c>
      <c r="E844">
        <f t="shared" si="8"/>
        <v>23.26530612244898</v>
      </c>
    </row>
    <row r="845" spans="1:5" x14ac:dyDescent="0.25">
      <c r="A845" s="3">
        <v>45796</v>
      </c>
      <c r="B845">
        <v>9</v>
      </c>
      <c r="E845">
        <f t="shared" si="8"/>
        <v>23.26530612244898</v>
      </c>
    </row>
    <row r="846" spans="1:5" x14ac:dyDescent="0.25">
      <c r="A846" s="3">
        <v>45797</v>
      </c>
      <c r="B846">
        <v>9</v>
      </c>
      <c r="E846">
        <f t="shared" si="8"/>
        <v>23.26530612244898</v>
      </c>
    </row>
    <row r="847" spans="1:5" x14ac:dyDescent="0.25">
      <c r="A847" s="3">
        <v>45798</v>
      </c>
      <c r="B847">
        <v>9</v>
      </c>
      <c r="E847">
        <f t="shared" si="8"/>
        <v>23.26530612244898</v>
      </c>
    </row>
    <row r="848" spans="1:5" x14ac:dyDescent="0.25">
      <c r="A848" s="3">
        <v>45799</v>
      </c>
      <c r="B848">
        <v>8</v>
      </c>
      <c r="E848">
        <f t="shared" si="8"/>
        <v>23.26530612244898</v>
      </c>
    </row>
    <row r="849" spans="1:5" x14ac:dyDescent="0.25">
      <c r="A849" s="3">
        <v>45800</v>
      </c>
      <c r="B849">
        <v>8</v>
      </c>
      <c r="E849">
        <f t="shared" si="8"/>
        <v>23.26530612244898</v>
      </c>
    </row>
    <row r="850" spans="1:5" x14ac:dyDescent="0.25">
      <c r="A850" s="3">
        <v>45801</v>
      </c>
      <c r="B850">
        <v>7</v>
      </c>
      <c r="E850">
        <f t="shared" si="8"/>
        <v>23.26530612244898</v>
      </c>
    </row>
    <row r="851" spans="1:5" x14ac:dyDescent="0.25">
      <c r="A851" s="3">
        <v>45802</v>
      </c>
      <c r="B851">
        <v>7</v>
      </c>
      <c r="E851">
        <f t="shared" si="8"/>
        <v>23.26530612244898</v>
      </c>
    </row>
    <row r="852" spans="1:5" x14ac:dyDescent="0.25">
      <c r="A852" s="3">
        <v>45803</v>
      </c>
      <c r="B852">
        <v>8</v>
      </c>
      <c r="E852">
        <f t="shared" si="8"/>
        <v>22.857142857142858</v>
      </c>
    </row>
    <row r="853" spans="1:5" x14ac:dyDescent="0.25">
      <c r="A853" s="3">
        <v>45804</v>
      </c>
      <c r="B853">
        <v>8</v>
      </c>
      <c r="E853">
        <f t="shared" si="8"/>
        <v>22.448979591836736</v>
      </c>
    </row>
    <row r="854" spans="1:5" x14ac:dyDescent="0.25">
      <c r="A854" s="3">
        <v>45805</v>
      </c>
      <c r="B854">
        <v>8</v>
      </c>
      <c r="E854">
        <f t="shared" si="8"/>
        <v>22.040816326530614</v>
      </c>
    </row>
    <row r="855" spans="1:5" x14ac:dyDescent="0.25">
      <c r="A855" s="3">
        <v>45806</v>
      </c>
      <c r="B855">
        <v>8</v>
      </c>
      <c r="E855">
        <f t="shared" si="8"/>
        <v>22.040816326530614</v>
      </c>
    </row>
    <row r="856" spans="1:5" x14ac:dyDescent="0.25">
      <c r="A856" s="3">
        <v>45807</v>
      </c>
      <c r="B856">
        <v>8</v>
      </c>
      <c r="E856">
        <f t="shared" si="8"/>
        <v>22.040816326530614</v>
      </c>
    </row>
    <row r="857" spans="1:5" x14ac:dyDescent="0.25">
      <c r="A857" s="3">
        <v>45808</v>
      </c>
      <c r="B857">
        <v>6</v>
      </c>
      <c r="E857">
        <f t="shared" si="8"/>
        <v>21.632653061224488</v>
      </c>
    </row>
    <row r="858" spans="1:5" x14ac:dyDescent="0.25">
      <c r="A858" s="3">
        <v>45809</v>
      </c>
      <c r="B858">
        <v>6</v>
      </c>
      <c r="E858">
        <f t="shared" si="8"/>
        <v>21.22448979591837</v>
      </c>
    </row>
    <row r="859" spans="1:5" x14ac:dyDescent="0.25">
      <c r="A859" s="3">
        <v>45810</v>
      </c>
      <c r="B859">
        <v>8</v>
      </c>
      <c r="E859">
        <f t="shared" si="8"/>
        <v>21.22448979591837</v>
      </c>
    </row>
    <row r="860" spans="1:5" x14ac:dyDescent="0.25">
      <c r="A860" s="3">
        <v>45811</v>
      </c>
      <c r="B860">
        <v>8</v>
      </c>
      <c r="E860">
        <f t="shared" si="8"/>
        <v>21.22448979591837</v>
      </c>
    </row>
    <row r="861" spans="1:5" x14ac:dyDescent="0.25">
      <c r="A861" s="3">
        <v>45812</v>
      </c>
      <c r="B861">
        <v>8</v>
      </c>
      <c r="E861">
        <f t="shared" si="8"/>
        <v>21.22448979591837</v>
      </c>
    </row>
    <row r="862" spans="1:5" x14ac:dyDescent="0.25">
      <c r="A862" s="3">
        <v>45813</v>
      </c>
      <c r="B862">
        <v>7</v>
      </c>
      <c r="E862">
        <f t="shared" si="8"/>
        <v>20.816326530612244</v>
      </c>
    </row>
    <row r="863" spans="1:5" x14ac:dyDescent="0.25">
      <c r="A863" s="3">
        <v>45814</v>
      </c>
      <c r="B863">
        <v>6</v>
      </c>
      <c r="E863">
        <f t="shared" si="8"/>
        <v>20</v>
      </c>
    </row>
    <row r="864" spans="1:5" x14ac:dyDescent="0.25">
      <c r="A864" s="3">
        <v>45815</v>
      </c>
      <c r="B864">
        <v>6</v>
      </c>
      <c r="E864">
        <f t="shared" si="8"/>
        <v>20</v>
      </c>
    </row>
    <row r="865" spans="1:5" x14ac:dyDescent="0.25">
      <c r="A865" s="3">
        <v>45816</v>
      </c>
      <c r="B865">
        <v>6</v>
      </c>
      <c r="E865">
        <f t="shared" si="8"/>
        <v>20</v>
      </c>
    </row>
    <row r="866" spans="1:5" x14ac:dyDescent="0.25">
      <c r="A866" s="3">
        <v>45817</v>
      </c>
      <c r="B866">
        <v>8</v>
      </c>
      <c r="E866">
        <f t="shared" si="8"/>
        <v>20</v>
      </c>
    </row>
    <row r="867" spans="1:5" x14ac:dyDescent="0.25">
      <c r="A867" s="3">
        <v>45818</v>
      </c>
      <c r="B867">
        <v>15</v>
      </c>
      <c r="E867">
        <f t="shared" si="8"/>
        <v>22.857142857142858</v>
      </c>
    </row>
    <row r="868" spans="1:5" x14ac:dyDescent="0.25">
      <c r="A868" s="3">
        <v>45819</v>
      </c>
      <c r="B868">
        <v>8</v>
      </c>
      <c r="E868">
        <f t="shared" si="8"/>
        <v>22.857142857142858</v>
      </c>
    </row>
    <row r="869" spans="1:5" x14ac:dyDescent="0.25">
      <c r="A869" s="3">
        <v>45820</v>
      </c>
      <c r="B869">
        <v>8</v>
      </c>
      <c r="E869">
        <f t="shared" si="8"/>
        <v>23.26530612244898</v>
      </c>
    </row>
    <row r="870" spans="1:5" x14ac:dyDescent="0.25">
      <c r="A870" s="3">
        <v>45821</v>
      </c>
      <c r="B870">
        <v>7</v>
      </c>
      <c r="E870">
        <f t="shared" si="8"/>
        <v>23.673469387755105</v>
      </c>
    </row>
    <row r="871" spans="1:5" x14ac:dyDescent="0.25">
      <c r="A871" s="3">
        <v>45822</v>
      </c>
      <c r="B871">
        <v>5</v>
      </c>
      <c r="E871">
        <f t="shared" si="8"/>
        <v>23.26530612244898</v>
      </c>
    </row>
    <row r="872" spans="1:5" x14ac:dyDescent="0.25">
      <c r="A872" s="3">
        <v>45823</v>
      </c>
      <c r="B872">
        <v>5</v>
      </c>
      <c r="E872">
        <f t="shared" si="8"/>
        <v>22.857142857142858</v>
      </c>
    </row>
    <row r="873" spans="1:5" x14ac:dyDescent="0.25">
      <c r="A873" s="3">
        <v>45824</v>
      </c>
      <c r="B873">
        <v>7</v>
      </c>
      <c r="E873">
        <f t="shared" si="8"/>
        <v>22.448979591836736</v>
      </c>
    </row>
    <row r="874" spans="1:5" x14ac:dyDescent="0.25">
      <c r="A874" s="3">
        <v>45825</v>
      </c>
      <c r="B874">
        <v>7</v>
      </c>
      <c r="E874">
        <f t="shared" si="8"/>
        <v>19.183673469387756</v>
      </c>
    </row>
    <row r="875" spans="1:5" x14ac:dyDescent="0.25">
      <c r="A875" s="3">
        <v>45826</v>
      </c>
      <c r="B875">
        <v>7</v>
      </c>
      <c r="E875">
        <f t="shared" si="8"/>
        <v>18.775510204081634</v>
      </c>
    </row>
    <row r="876" spans="1:5" x14ac:dyDescent="0.25">
      <c r="A876" s="3">
        <v>45827</v>
      </c>
      <c r="B876">
        <v>7</v>
      </c>
      <c r="E876">
        <f t="shared" ref="E876:E939" si="9">(AVERAGE(B870:B876))*(20/7)</f>
        <v>18.367346938775512</v>
      </c>
    </row>
    <row r="877" spans="1:5" x14ac:dyDescent="0.25">
      <c r="A877" s="3">
        <v>45828</v>
      </c>
      <c r="B877">
        <v>6</v>
      </c>
      <c r="E877">
        <f t="shared" si="9"/>
        <v>17.959183673469386</v>
      </c>
    </row>
    <row r="878" spans="1:5" x14ac:dyDescent="0.25">
      <c r="A878" s="3">
        <v>45829</v>
      </c>
      <c r="B878">
        <v>5</v>
      </c>
      <c r="E878">
        <f t="shared" si="9"/>
        <v>17.959183673469386</v>
      </c>
    </row>
    <row r="879" spans="1:5" x14ac:dyDescent="0.25">
      <c r="A879" s="3">
        <v>45830</v>
      </c>
      <c r="B879">
        <v>5</v>
      </c>
      <c r="E879">
        <f t="shared" si="9"/>
        <v>17.959183673469386</v>
      </c>
    </row>
    <row r="880" spans="1:5" x14ac:dyDescent="0.25">
      <c r="A880" s="3">
        <v>45831</v>
      </c>
      <c r="B880">
        <v>6</v>
      </c>
      <c r="E880">
        <f t="shared" si="9"/>
        <v>17.551020408163268</v>
      </c>
    </row>
    <row r="881" spans="1:5" x14ac:dyDescent="0.25">
      <c r="A881" s="3">
        <v>45832</v>
      </c>
      <c r="B881">
        <v>6</v>
      </c>
      <c r="E881">
        <f t="shared" si="9"/>
        <v>17.142857142857142</v>
      </c>
    </row>
    <row r="882" spans="1:5" x14ac:dyDescent="0.25">
      <c r="A882" s="3">
        <v>45833</v>
      </c>
      <c r="B882">
        <v>7</v>
      </c>
      <c r="E882">
        <f t="shared" si="9"/>
        <v>17.142857142857142</v>
      </c>
    </row>
    <row r="883" spans="1:5" x14ac:dyDescent="0.25">
      <c r="A883" s="3">
        <v>45834</v>
      </c>
      <c r="B883">
        <v>6</v>
      </c>
      <c r="E883">
        <f t="shared" si="9"/>
        <v>16.73469387755102</v>
      </c>
    </row>
    <row r="884" spans="1:5" x14ac:dyDescent="0.25">
      <c r="A884" s="3">
        <v>45835</v>
      </c>
      <c r="B884">
        <v>6</v>
      </c>
      <c r="E884">
        <f t="shared" si="9"/>
        <v>16.73469387755102</v>
      </c>
    </row>
    <row r="885" spans="1:5" x14ac:dyDescent="0.25">
      <c r="A885" s="3">
        <v>45836</v>
      </c>
      <c r="B885">
        <f>58*(1/(73/6))</f>
        <v>4.7671232876712333</v>
      </c>
      <c r="E885">
        <f t="shared" si="9"/>
        <v>16.639642158233155</v>
      </c>
    </row>
    <row r="886" spans="1:5" x14ac:dyDescent="0.25">
      <c r="A886" s="3">
        <v>45837</v>
      </c>
      <c r="B886">
        <f>59*(1/(73/6))</f>
        <v>4.8493150684931514</v>
      </c>
      <c r="E886">
        <f t="shared" si="9"/>
        <v>16.578138104556889</v>
      </c>
    </row>
    <row r="887" spans="1:5" x14ac:dyDescent="0.25">
      <c r="A887" s="3">
        <v>45838</v>
      </c>
      <c r="B887">
        <f>78*(1/(73/6))</f>
        <v>6.4109589041095898</v>
      </c>
      <c r="E887">
        <f t="shared" si="9"/>
        <v>16.745876432764884</v>
      </c>
    </row>
    <row r="888" spans="1:5" x14ac:dyDescent="0.25">
      <c r="A888" s="3">
        <v>45839</v>
      </c>
      <c r="B888">
        <f>74*(1/(73/6))</f>
        <v>6.0821917808219181</v>
      </c>
      <c r="E888">
        <f t="shared" si="9"/>
        <v>16.779424098406484</v>
      </c>
    </row>
    <row r="889" spans="1:5" x14ac:dyDescent="0.25">
      <c r="A889" s="3">
        <v>45840</v>
      </c>
      <c r="B889">
        <f>77*(1/(73/6))</f>
        <v>6.3287671232876717</v>
      </c>
      <c r="E889">
        <f t="shared" si="9"/>
        <v>16.505451495666758</v>
      </c>
    </row>
    <row r="890" spans="1:5" x14ac:dyDescent="0.25">
      <c r="A890" s="3">
        <v>45841</v>
      </c>
      <c r="B890">
        <f>74*(1/(73/6))</f>
        <v>6.0821917808219181</v>
      </c>
      <c r="E890">
        <f t="shared" si="9"/>
        <v>16.538999161308357</v>
      </c>
    </row>
    <row r="891" spans="1:5" x14ac:dyDescent="0.25">
      <c r="A891" s="3">
        <v>45842</v>
      </c>
      <c r="B891">
        <f>68*(1/(73/6))</f>
        <v>5.589041095890412</v>
      </c>
      <c r="E891">
        <f t="shared" si="9"/>
        <v>16.371260833100362</v>
      </c>
    </row>
    <row r="892" spans="1:5" x14ac:dyDescent="0.25">
      <c r="A892" s="3">
        <v>45843</v>
      </c>
      <c r="B892">
        <f>52*(1/(73/6))</f>
        <v>4.2739726027397262</v>
      </c>
      <c r="E892">
        <f t="shared" si="9"/>
        <v>16.16997483925077</v>
      </c>
    </row>
    <row r="893" spans="1:5" x14ac:dyDescent="0.25">
      <c r="A893" s="3">
        <v>45844</v>
      </c>
      <c r="B893">
        <f>54*(1/(73/6))</f>
        <v>4.4383561643835625</v>
      </c>
      <c r="E893">
        <f t="shared" si="9"/>
        <v>16.002236511042778</v>
      </c>
    </row>
    <row r="894" spans="1:5" x14ac:dyDescent="0.25">
      <c r="A894" s="3">
        <v>45845</v>
      </c>
      <c r="B894">
        <f>72*(1/(73/6))</f>
        <v>5.9178082191780828</v>
      </c>
      <c r="E894">
        <f t="shared" si="9"/>
        <v>15.800950517193179</v>
      </c>
    </row>
    <row r="895" spans="1:5" x14ac:dyDescent="0.25">
      <c r="A895" s="3">
        <v>45846</v>
      </c>
      <c r="B895">
        <f>73*(1/(73/6))</f>
        <v>6.0000000000000009</v>
      </c>
      <c r="E895">
        <f t="shared" si="9"/>
        <v>15.76740285155158</v>
      </c>
    </row>
    <row r="896" spans="1:5" x14ac:dyDescent="0.25">
      <c r="A896" s="3">
        <v>45847</v>
      </c>
      <c r="B896">
        <f>69*(1/(73/6))</f>
        <v>5.6712328767123292</v>
      </c>
      <c r="E896">
        <f t="shared" si="9"/>
        <v>15.49902152641879</v>
      </c>
    </row>
    <row r="897" spans="1:5" x14ac:dyDescent="0.25">
      <c r="A897" s="3">
        <v>45848</v>
      </c>
      <c r="B897">
        <f>69*(1/(73/6))</f>
        <v>5.6712328767123292</v>
      </c>
      <c r="E897">
        <f t="shared" si="9"/>
        <v>15.331283198210794</v>
      </c>
    </row>
    <row r="898" spans="1:5" x14ac:dyDescent="0.25">
      <c r="A898" s="3">
        <v>45849</v>
      </c>
      <c r="B898">
        <f>67*(1/(73/6))</f>
        <v>5.5068493150684938</v>
      </c>
      <c r="E898">
        <f t="shared" si="9"/>
        <v>15.297735532569197</v>
      </c>
    </row>
    <row r="899" spans="1:5" x14ac:dyDescent="0.25">
      <c r="A899" s="3">
        <v>45850</v>
      </c>
      <c r="B899">
        <f>52*(1/(73/6))</f>
        <v>4.2739726027397262</v>
      </c>
      <c r="E899">
        <f t="shared" si="9"/>
        <v>15.297735532569192</v>
      </c>
    </row>
    <row r="900" spans="1:5" x14ac:dyDescent="0.25">
      <c r="A900" s="3">
        <v>45851</v>
      </c>
      <c r="B900">
        <f>52*(1/(73/6))</f>
        <v>4.2739726027397262</v>
      </c>
      <c r="E900">
        <f t="shared" si="9"/>
        <v>15.230640201285995</v>
      </c>
    </row>
    <row r="901" spans="1:5" x14ac:dyDescent="0.25">
      <c r="A901" s="3">
        <v>45852</v>
      </c>
      <c r="B901">
        <f>64*(1/(73/6))</f>
        <v>5.2602739726027403</v>
      </c>
      <c r="E901">
        <f t="shared" si="9"/>
        <v>14.962258876153202</v>
      </c>
    </row>
    <row r="902" spans="1:5" x14ac:dyDescent="0.25">
      <c r="A902" s="3">
        <v>45853</v>
      </c>
      <c r="B902">
        <f>70*(1/(73/6))</f>
        <v>5.7534246575342474</v>
      </c>
      <c r="E902">
        <f t="shared" si="9"/>
        <v>14.861615879228406</v>
      </c>
    </row>
    <row r="903" spans="1:5" x14ac:dyDescent="0.25">
      <c r="A903" s="3">
        <v>45854</v>
      </c>
      <c r="B903">
        <f>72*(1/(73/6))</f>
        <v>5.9178082191780828</v>
      </c>
      <c r="E903">
        <f t="shared" si="9"/>
        <v>14.962258876153202</v>
      </c>
    </row>
    <row r="904" spans="1:5" x14ac:dyDescent="0.25">
      <c r="A904" s="3">
        <v>45855</v>
      </c>
      <c r="B904">
        <f>66*(1/(73/6))</f>
        <v>5.4246575342465757</v>
      </c>
      <c r="E904">
        <f t="shared" si="9"/>
        <v>14.861615879228406</v>
      </c>
    </row>
    <row r="905" spans="1:5" x14ac:dyDescent="0.25">
      <c r="A905" s="3">
        <v>45856</v>
      </c>
      <c r="B905">
        <f>62*(1/(73/6))</f>
        <v>5.0958904109589049</v>
      </c>
      <c r="E905">
        <f t="shared" si="9"/>
        <v>14.69387755102041</v>
      </c>
    </row>
    <row r="906" spans="1:5" x14ac:dyDescent="0.25">
      <c r="A906" s="3">
        <v>45857</v>
      </c>
      <c r="B906">
        <f>52*(1/(73/6))</f>
        <v>4.2739726027397262</v>
      </c>
      <c r="E906">
        <f t="shared" si="9"/>
        <v>14.693877551020412</v>
      </c>
    </row>
    <row r="907" spans="1:5" x14ac:dyDescent="0.25">
      <c r="A907" s="3">
        <v>45858</v>
      </c>
      <c r="B907">
        <f>51*(1/(73/6))</f>
        <v>4.191780821917809</v>
      </c>
      <c r="E907">
        <f t="shared" si="9"/>
        <v>14.660329885378811</v>
      </c>
    </row>
    <row r="908" spans="1:5" x14ac:dyDescent="0.25">
      <c r="A908" s="3">
        <v>45859</v>
      </c>
      <c r="B908">
        <f>68*(1/(73/6))</f>
        <v>5.589041095890412</v>
      </c>
      <c r="E908">
        <f t="shared" si="9"/>
        <v>14.79452054794521</v>
      </c>
    </row>
    <row r="909" spans="1:5" x14ac:dyDescent="0.25">
      <c r="A909" s="3">
        <v>45860</v>
      </c>
      <c r="B909">
        <f>67*(1/(73/6))</f>
        <v>5.5068493150684938</v>
      </c>
      <c r="E909">
        <f t="shared" si="9"/>
        <v>14.693877551020412</v>
      </c>
    </row>
    <row r="910" spans="1:5" x14ac:dyDescent="0.25">
      <c r="A910" s="3">
        <v>45861</v>
      </c>
      <c r="B910">
        <f>64*(1/(73/6))</f>
        <v>5.2602739726027403</v>
      </c>
      <c r="E910">
        <f t="shared" si="9"/>
        <v>14.425496225887617</v>
      </c>
    </row>
    <row r="911" spans="1:5" x14ac:dyDescent="0.25">
      <c r="A911" s="3">
        <v>45862</v>
      </c>
      <c r="B911">
        <f>65*(1/(73/6))</f>
        <v>5.3424657534246585</v>
      </c>
      <c r="E911">
        <f t="shared" si="9"/>
        <v>14.391948560246018</v>
      </c>
    </row>
    <row r="912" spans="1:5" x14ac:dyDescent="0.25">
      <c r="A912" s="3">
        <v>45863</v>
      </c>
      <c r="B912">
        <f>62*(1/(73/6))</f>
        <v>5.0958904109589049</v>
      </c>
      <c r="E912">
        <f t="shared" si="9"/>
        <v>14.391948560246018</v>
      </c>
    </row>
    <row r="913" spans="1:5" x14ac:dyDescent="0.25">
      <c r="A913" s="3">
        <v>45864</v>
      </c>
      <c r="B913">
        <f>50*(1/(73/6))</f>
        <v>4.1095890410958908</v>
      </c>
      <c r="E913">
        <f t="shared" si="9"/>
        <v>14.324853228962819</v>
      </c>
    </row>
    <row r="914" spans="1:5" x14ac:dyDescent="0.25">
      <c r="A914" s="3">
        <v>45865</v>
      </c>
      <c r="B914">
        <f>49*(1/(73/6))</f>
        <v>4.0273972602739727</v>
      </c>
      <c r="E914">
        <f t="shared" si="9"/>
        <v>14.257757897679621</v>
      </c>
    </row>
    <row r="915" spans="1:5" x14ac:dyDescent="0.25">
      <c r="A915" s="3">
        <v>45866</v>
      </c>
      <c r="B915">
        <f>63*(1/(73/6))</f>
        <v>5.1780821917808222</v>
      </c>
      <c r="E915">
        <f t="shared" si="9"/>
        <v>14.090019569471627</v>
      </c>
    </row>
    <row r="916" spans="1:5" x14ac:dyDescent="0.25">
      <c r="A916" s="3">
        <v>45867</v>
      </c>
      <c r="B916">
        <f>67*(1/(73/6))</f>
        <v>5.5068493150684938</v>
      </c>
      <c r="E916">
        <f t="shared" si="9"/>
        <v>14.090019569471625</v>
      </c>
    </row>
    <row r="917" spans="1:5" x14ac:dyDescent="0.25">
      <c r="A917" s="3">
        <v>45868</v>
      </c>
      <c r="B917">
        <f>70*(1/(73/6))</f>
        <v>5.7534246575342474</v>
      </c>
      <c r="E917">
        <f t="shared" si="9"/>
        <v>14.291305563321218</v>
      </c>
    </row>
    <row r="918" spans="1:5" x14ac:dyDescent="0.25">
      <c r="A918" s="3">
        <v>45869</v>
      </c>
      <c r="B918">
        <f>64*(1/(73/6))</f>
        <v>5.2602739726027403</v>
      </c>
      <c r="E918">
        <f t="shared" si="9"/>
        <v>14.257757897679621</v>
      </c>
    </row>
    <row r="919" spans="1:5" x14ac:dyDescent="0.25">
      <c r="A919" s="3">
        <v>45870</v>
      </c>
      <c r="B919">
        <f>62*(1/(73/6))</f>
        <v>5.0958904109589049</v>
      </c>
      <c r="E919">
        <f t="shared" si="9"/>
        <v>14.257757897679621</v>
      </c>
    </row>
    <row r="920" spans="1:5" x14ac:dyDescent="0.25">
      <c r="A920" s="3">
        <v>45871</v>
      </c>
      <c r="B920">
        <f>50*(1/(73/6))</f>
        <v>4.1095890410958908</v>
      </c>
      <c r="E920">
        <f t="shared" si="9"/>
        <v>14.257757897679621</v>
      </c>
    </row>
    <row r="921" spans="1:5" x14ac:dyDescent="0.25">
      <c r="A921" s="3">
        <v>45872</v>
      </c>
      <c r="B921">
        <f>51*(1/(73/6))</f>
        <v>4.191780821917809</v>
      </c>
      <c r="E921">
        <f t="shared" si="9"/>
        <v>14.324853228962819</v>
      </c>
    </row>
    <row r="922" spans="1:5" x14ac:dyDescent="0.25">
      <c r="A922" s="3">
        <v>45873</v>
      </c>
      <c r="B922">
        <f>69*(1/(73/6))</f>
        <v>5.6712328767123292</v>
      </c>
      <c r="E922">
        <f t="shared" si="9"/>
        <v>14.526139222812414</v>
      </c>
    </row>
    <row r="923" spans="1:5" x14ac:dyDescent="0.25">
      <c r="A923" s="3">
        <v>45874</v>
      </c>
      <c r="B923">
        <f>66*(1/(73/6))</f>
        <v>5.4246575342465757</v>
      </c>
      <c r="E923">
        <f t="shared" si="9"/>
        <v>14.492591557170815</v>
      </c>
    </row>
    <row r="924" spans="1:5" x14ac:dyDescent="0.25">
      <c r="A924" s="3">
        <v>45875</v>
      </c>
      <c r="B924">
        <f>70*(1/(73/6))</f>
        <v>5.7534246575342474</v>
      </c>
      <c r="E924">
        <f t="shared" si="9"/>
        <v>14.492591557170815</v>
      </c>
    </row>
    <row r="925" spans="1:5" x14ac:dyDescent="0.25">
      <c r="A925" s="3">
        <v>45876</v>
      </c>
      <c r="B925">
        <f>68*(1/(73/6))</f>
        <v>5.589041095890412</v>
      </c>
      <c r="E925">
        <f t="shared" si="9"/>
        <v>14.626782219737214</v>
      </c>
    </row>
    <row r="926" spans="1:5" x14ac:dyDescent="0.25">
      <c r="A926" s="3">
        <v>45877</v>
      </c>
      <c r="B926">
        <f>65*(1/(73/6))</f>
        <v>5.3424657534246585</v>
      </c>
      <c r="E926">
        <f t="shared" si="9"/>
        <v>14.727425216662009</v>
      </c>
    </row>
    <row r="927" spans="1:5" x14ac:dyDescent="0.25">
      <c r="A927" s="3">
        <v>45878</v>
      </c>
      <c r="B927">
        <f>53*(1/(73/6))</f>
        <v>4.3561643835616444</v>
      </c>
      <c r="E927">
        <f t="shared" si="9"/>
        <v>14.828068213586807</v>
      </c>
    </row>
    <row r="928" spans="1:5" x14ac:dyDescent="0.25">
      <c r="A928" s="3">
        <v>45879</v>
      </c>
      <c r="B928">
        <f>55*(1/(73/6))</f>
        <v>4.5205479452054798</v>
      </c>
      <c r="E928">
        <f t="shared" si="9"/>
        <v>14.962258876153202</v>
      </c>
    </row>
    <row r="929" spans="1:5" x14ac:dyDescent="0.25">
      <c r="A929" s="3">
        <v>45880</v>
      </c>
      <c r="B929">
        <f>73*(1/(73/6))</f>
        <v>6.0000000000000009</v>
      </c>
      <c r="E929">
        <f t="shared" si="9"/>
        <v>15.0964495387196</v>
      </c>
    </row>
    <row r="930" spans="1:5" x14ac:dyDescent="0.25">
      <c r="A930" s="3">
        <v>45881</v>
      </c>
      <c r="B930">
        <f>71*(1/(73/6))</f>
        <v>5.8356164383561646</v>
      </c>
      <c r="E930">
        <f t="shared" si="9"/>
        <v>15.264187866927593</v>
      </c>
    </row>
    <row r="931" spans="1:5" x14ac:dyDescent="0.25">
      <c r="A931" s="3">
        <v>45882</v>
      </c>
      <c r="B931">
        <f>72*(1/(73/6))</f>
        <v>5.9178082191780828</v>
      </c>
      <c r="E931">
        <f t="shared" si="9"/>
        <v>15.331283198210794</v>
      </c>
    </row>
    <row r="932" spans="1:5" x14ac:dyDescent="0.25">
      <c r="A932" s="3">
        <v>45883</v>
      </c>
      <c r="B932">
        <f>73*(1/(73/6))</f>
        <v>6.0000000000000009</v>
      </c>
      <c r="E932">
        <f t="shared" si="9"/>
        <v>15.499021526418788</v>
      </c>
    </row>
    <row r="933" spans="1:5" x14ac:dyDescent="0.25">
      <c r="A933" s="3">
        <v>45884</v>
      </c>
      <c r="B933">
        <f>63*(1/(73/6))</f>
        <v>5.1780821917808222</v>
      </c>
      <c r="E933">
        <f t="shared" si="9"/>
        <v>15.431926195135592</v>
      </c>
    </row>
    <row r="934" spans="1:5" x14ac:dyDescent="0.25">
      <c r="A934" s="3">
        <v>45885</v>
      </c>
      <c r="B934">
        <f>51*(1/(73/6))</f>
        <v>4.191780821917809</v>
      </c>
      <c r="E934">
        <f t="shared" si="9"/>
        <v>15.364830863852394</v>
      </c>
    </row>
    <row r="935" spans="1:5" x14ac:dyDescent="0.25">
      <c r="A935" s="3">
        <v>45886</v>
      </c>
      <c r="B935">
        <f>54*(1/(73/6))</f>
        <v>4.4383561643835625</v>
      </c>
      <c r="E935">
        <f t="shared" si="9"/>
        <v>15.331283198210794</v>
      </c>
    </row>
    <row r="936" spans="1:5" x14ac:dyDescent="0.25">
      <c r="A936" s="3">
        <v>45887</v>
      </c>
      <c r="B936">
        <f>70*(1/(73/6))</f>
        <v>5.7534246575342474</v>
      </c>
      <c r="E936">
        <f t="shared" si="9"/>
        <v>15.230640201285995</v>
      </c>
    </row>
    <row r="937" spans="1:5" x14ac:dyDescent="0.25">
      <c r="A937" s="3">
        <v>45888</v>
      </c>
      <c r="B937">
        <f>71*(1/(73/6))</f>
        <v>5.8356164383561646</v>
      </c>
      <c r="E937">
        <f t="shared" si="9"/>
        <v>15.230640201285995</v>
      </c>
    </row>
    <row r="938" spans="1:5" x14ac:dyDescent="0.25">
      <c r="A938" s="3">
        <v>45889</v>
      </c>
      <c r="B938">
        <f>72*(1/(73/6))</f>
        <v>5.9178082191780828</v>
      </c>
      <c r="E938">
        <f t="shared" si="9"/>
        <v>15.230640201285995</v>
      </c>
    </row>
    <row r="939" spans="1:5" x14ac:dyDescent="0.25">
      <c r="A939" s="3">
        <v>45890</v>
      </c>
      <c r="B939">
        <f>80*(1/(73/6))</f>
        <v>6.5753424657534252</v>
      </c>
      <c r="E939">
        <f t="shared" si="9"/>
        <v>15.465473860777189</v>
      </c>
    </row>
    <row r="940" spans="1:5" x14ac:dyDescent="0.25">
      <c r="A940" s="3">
        <v>45891</v>
      </c>
      <c r="B940">
        <f>68*(1/(73/6))</f>
        <v>5.589041095890412</v>
      </c>
      <c r="E940">
        <f t="shared" ref="E940:E1003" si="10">(AVERAGE(B934:B940))*(20/7)</f>
        <v>15.633212188985185</v>
      </c>
    </row>
    <row r="941" spans="1:5" x14ac:dyDescent="0.25">
      <c r="A941" s="3">
        <v>45892</v>
      </c>
      <c r="B941">
        <f>57*(1/(73/6))</f>
        <v>4.684931506849316</v>
      </c>
      <c r="E941">
        <f t="shared" si="10"/>
        <v>15.83449818283478</v>
      </c>
    </row>
    <row r="942" spans="1:5" x14ac:dyDescent="0.25">
      <c r="A942" s="3">
        <v>45893</v>
      </c>
      <c r="B942">
        <f>57*(1/(73/6))</f>
        <v>4.684931506849316</v>
      </c>
      <c r="E942">
        <f t="shared" si="10"/>
        <v>15.935141179759576</v>
      </c>
    </row>
    <row r="943" spans="1:5" x14ac:dyDescent="0.25">
      <c r="A943" s="3">
        <v>45894</v>
      </c>
      <c r="B943">
        <f>73*(1/(73/6))</f>
        <v>6.0000000000000009</v>
      </c>
      <c r="E943">
        <f t="shared" si="10"/>
        <v>16.035784176684377</v>
      </c>
    </row>
    <row r="944" spans="1:5" x14ac:dyDescent="0.25">
      <c r="A944" s="3">
        <v>45895</v>
      </c>
      <c r="B944">
        <f>75*(1/(73/6))</f>
        <v>6.1643835616438363</v>
      </c>
      <c r="E944">
        <f t="shared" si="10"/>
        <v>16.169974839250774</v>
      </c>
    </row>
    <row r="945" spans="1:5" x14ac:dyDescent="0.25">
      <c r="A945" s="3">
        <v>45896</v>
      </c>
      <c r="B945">
        <f>76*(1/(73/6))</f>
        <v>6.2465753424657544</v>
      </c>
      <c r="E945">
        <f t="shared" si="10"/>
        <v>16.30416550181717</v>
      </c>
    </row>
    <row r="946" spans="1:5" x14ac:dyDescent="0.25">
      <c r="A946" s="3">
        <v>45897</v>
      </c>
      <c r="B946">
        <f>75*(1/(73/6))</f>
        <v>6.1643835616438363</v>
      </c>
      <c r="E946">
        <f t="shared" si="10"/>
        <v>16.136427173609174</v>
      </c>
    </row>
    <row r="947" spans="1:5" x14ac:dyDescent="0.25">
      <c r="A947" s="3">
        <v>45898</v>
      </c>
      <c r="B947">
        <f>67*(1/(73/6))</f>
        <v>5.5068493150684938</v>
      </c>
      <c r="E947">
        <f t="shared" si="10"/>
        <v>16.102879507967575</v>
      </c>
    </row>
    <row r="948" spans="1:5" x14ac:dyDescent="0.25">
      <c r="A948" s="3">
        <v>45899</v>
      </c>
      <c r="B948">
        <f>49*(1/(73/6))</f>
        <v>4.0273972602739727</v>
      </c>
      <c r="E948">
        <f t="shared" si="10"/>
        <v>15.83449818283478</v>
      </c>
    </row>
    <row r="949" spans="1:5" x14ac:dyDescent="0.25">
      <c r="A949" s="3">
        <v>45900</v>
      </c>
      <c r="B949">
        <f>55*(1/(73/6))</f>
        <v>4.5205479452054798</v>
      </c>
      <c r="E949">
        <f t="shared" si="10"/>
        <v>15.76740285155158</v>
      </c>
    </row>
    <row r="950" spans="1:5" x14ac:dyDescent="0.25">
      <c r="A950" s="3">
        <v>45901</v>
      </c>
      <c r="B950">
        <f>72*(1/(73/6))</f>
        <v>5.9178082191780828</v>
      </c>
      <c r="E950">
        <f t="shared" si="10"/>
        <v>15.733855185909983</v>
      </c>
    </row>
    <row r="951" spans="1:5" x14ac:dyDescent="0.25">
      <c r="A951" s="3">
        <v>45902</v>
      </c>
      <c r="B951">
        <f>75*(1/(73/6))</f>
        <v>6.1643835616438363</v>
      </c>
      <c r="E951">
        <f t="shared" si="10"/>
        <v>15.733855185909983</v>
      </c>
    </row>
    <row r="952" spans="1:5" x14ac:dyDescent="0.25">
      <c r="A952" s="3">
        <v>45903</v>
      </c>
      <c r="B952">
        <f>90*(1/(73/6))</f>
        <v>7.3972602739726039</v>
      </c>
      <c r="E952">
        <f t="shared" si="10"/>
        <v>16.203522504892373</v>
      </c>
    </row>
    <row r="953" spans="1:5" x14ac:dyDescent="0.25">
      <c r="A953" s="3">
        <v>45904</v>
      </c>
      <c r="B953">
        <f>72*(1/(73/6))</f>
        <v>5.9178082191780828</v>
      </c>
      <c r="E953">
        <f t="shared" si="10"/>
        <v>16.102879507967575</v>
      </c>
    </row>
    <row r="954" spans="1:5" x14ac:dyDescent="0.25">
      <c r="A954" s="3">
        <v>45905</v>
      </c>
      <c r="B954">
        <f>63*(1/(73/6))</f>
        <v>5.1780821917808222</v>
      </c>
      <c r="E954">
        <f t="shared" si="10"/>
        <v>15.96868884540118</v>
      </c>
    </row>
    <row r="955" spans="1:5" x14ac:dyDescent="0.25">
      <c r="A955" s="3">
        <v>45906</v>
      </c>
      <c r="B955">
        <f>56*(1/(73/6))</f>
        <v>4.6027397260273979</v>
      </c>
      <c r="E955">
        <f t="shared" si="10"/>
        <v>16.203522504892373</v>
      </c>
    </row>
    <row r="956" spans="1:5" x14ac:dyDescent="0.25">
      <c r="A956" s="3">
        <v>45907</v>
      </c>
      <c r="B956">
        <f>57*(1/(73/6))</f>
        <v>4.684931506849316</v>
      </c>
      <c r="E956">
        <f t="shared" si="10"/>
        <v>16.270617836175571</v>
      </c>
    </row>
    <row r="957" spans="1:5" x14ac:dyDescent="0.25">
      <c r="A957" s="3">
        <v>45908</v>
      </c>
      <c r="B957">
        <f>73*(1/(73/6))</f>
        <v>6.0000000000000009</v>
      </c>
      <c r="E957">
        <f t="shared" si="10"/>
        <v>16.304165501817167</v>
      </c>
    </row>
    <row r="958" spans="1:5" x14ac:dyDescent="0.25">
      <c r="A958" s="3">
        <v>45909</v>
      </c>
      <c r="B958">
        <f>72*(1/(73/6))</f>
        <v>5.9178082191780828</v>
      </c>
      <c r="E958">
        <f t="shared" si="10"/>
        <v>16.203522504892373</v>
      </c>
    </row>
    <row r="959" spans="1:5" x14ac:dyDescent="0.25">
      <c r="A959" s="3">
        <v>45910</v>
      </c>
      <c r="B959">
        <f>74*(1/(73/6))</f>
        <v>6.0821917808219181</v>
      </c>
      <c r="E959">
        <f t="shared" si="10"/>
        <v>15.666759854626784</v>
      </c>
    </row>
    <row r="960" spans="1:5" x14ac:dyDescent="0.25">
      <c r="A960" s="3">
        <v>45911</v>
      </c>
      <c r="B960">
        <f>73*(1/(73/6))</f>
        <v>6.0000000000000009</v>
      </c>
      <c r="E960">
        <f t="shared" si="10"/>
        <v>15.700307520268382</v>
      </c>
    </row>
    <row r="961" spans="1:5" x14ac:dyDescent="0.25">
      <c r="A961" s="3">
        <v>45912</v>
      </c>
      <c r="B961">
        <f>63*(1/(73/6))</f>
        <v>5.1780821917808222</v>
      </c>
      <c r="E961">
        <f t="shared" si="10"/>
        <v>15.700307520268385</v>
      </c>
    </row>
    <row r="962" spans="1:5" x14ac:dyDescent="0.25">
      <c r="A962" s="3">
        <v>45913</v>
      </c>
      <c r="B962">
        <f>54*(1/(73/6))</f>
        <v>4.4383561643835625</v>
      </c>
      <c r="E962">
        <f t="shared" si="10"/>
        <v>15.633212188985185</v>
      </c>
    </row>
    <row r="963" spans="1:5" x14ac:dyDescent="0.25">
      <c r="A963" s="3">
        <v>45914</v>
      </c>
      <c r="B963">
        <f>56*(1/(73/6))</f>
        <v>4.6027397260273979</v>
      </c>
      <c r="E963">
        <f t="shared" si="10"/>
        <v>15.599664523343588</v>
      </c>
    </row>
    <row r="964" spans="1:5" x14ac:dyDescent="0.25">
      <c r="A964" s="3">
        <v>45915</v>
      </c>
      <c r="B964">
        <f>79*(1/(73/6))</f>
        <v>6.4931506849315079</v>
      </c>
      <c r="E964">
        <f t="shared" si="10"/>
        <v>15.800950517193181</v>
      </c>
    </row>
    <row r="965" spans="1:5" x14ac:dyDescent="0.25">
      <c r="A965" s="3">
        <v>45916</v>
      </c>
      <c r="B965">
        <f>79*(1/(73/6))</f>
        <v>6.4931506849315079</v>
      </c>
      <c r="E965">
        <f t="shared" si="10"/>
        <v>16.035784176684377</v>
      </c>
    </row>
    <row r="966" spans="1:5" x14ac:dyDescent="0.25">
      <c r="A966" s="3">
        <v>45917</v>
      </c>
      <c r="B966">
        <f>74*(1/(73/6))</f>
        <v>6.0821917808219181</v>
      </c>
      <c r="E966">
        <f t="shared" si="10"/>
        <v>16.035784176684377</v>
      </c>
    </row>
    <row r="967" spans="1:5" x14ac:dyDescent="0.25">
      <c r="A967" s="3">
        <v>45918</v>
      </c>
      <c r="B967">
        <f>77*(1/(73/6))</f>
        <v>6.3287671232876717</v>
      </c>
      <c r="E967">
        <f t="shared" si="10"/>
        <v>16.16997483925077</v>
      </c>
    </row>
    <row r="968" spans="1:5" x14ac:dyDescent="0.25">
      <c r="A968" s="3">
        <v>45919</v>
      </c>
      <c r="B968">
        <f>69*(1/(73/6))</f>
        <v>5.6712328767123292</v>
      </c>
      <c r="E968">
        <f t="shared" si="10"/>
        <v>16.371260833100365</v>
      </c>
    </row>
    <row r="969" spans="1:5" x14ac:dyDescent="0.25">
      <c r="A969" s="3">
        <v>45920</v>
      </c>
      <c r="B969">
        <f>58*(1/(73/6))</f>
        <v>4.7671232876712333</v>
      </c>
      <c r="E969">
        <f t="shared" si="10"/>
        <v>16.505451495666762</v>
      </c>
    </row>
    <row r="970" spans="1:5" x14ac:dyDescent="0.25">
      <c r="A970" s="3">
        <v>45921</v>
      </c>
      <c r="B970">
        <f>60*(1/(73/6))</f>
        <v>4.9315068493150687</v>
      </c>
      <c r="E970">
        <f t="shared" si="10"/>
        <v>16.639642158233158</v>
      </c>
    </row>
    <row r="971" spans="1:5" x14ac:dyDescent="0.25">
      <c r="A971" s="3">
        <v>45922</v>
      </c>
      <c r="B971">
        <f>78*(1/(73/6))</f>
        <v>6.4109589041095898</v>
      </c>
      <c r="E971">
        <f t="shared" si="10"/>
        <v>16.606094492591559</v>
      </c>
    </row>
    <row r="972" spans="1:5" x14ac:dyDescent="0.25">
      <c r="A972" s="3">
        <v>45923</v>
      </c>
      <c r="B972">
        <f>79*(1/(73/6))</f>
        <v>6.4931506849315079</v>
      </c>
      <c r="E972">
        <f t="shared" si="10"/>
        <v>16.606094492591559</v>
      </c>
    </row>
    <row r="973" spans="1:5" x14ac:dyDescent="0.25">
      <c r="A973" s="3">
        <v>45924</v>
      </c>
      <c r="B973">
        <f>75*(1/(73/6))</f>
        <v>6.1643835616438363</v>
      </c>
      <c r="E973">
        <f t="shared" si="10"/>
        <v>16.639642158233158</v>
      </c>
    </row>
    <row r="974" spans="1:5" x14ac:dyDescent="0.25">
      <c r="A974" s="3">
        <v>45925</v>
      </c>
      <c r="B974">
        <f>77*(1/(73/6))</f>
        <v>6.3287671232876717</v>
      </c>
      <c r="E974">
        <f t="shared" si="10"/>
        <v>16.639642158233155</v>
      </c>
    </row>
    <row r="975" spans="1:5" x14ac:dyDescent="0.25">
      <c r="A975" s="3">
        <v>45926</v>
      </c>
      <c r="B975">
        <f>66*(1/(73/6))</f>
        <v>5.4246575342465757</v>
      </c>
      <c r="E975">
        <f t="shared" si="10"/>
        <v>16.538999161308361</v>
      </c>
    </row>
    <row r="976" spans="1:5" x14ac:dyDescent="0.25">
      <c r="A976" s="3">
        <v>45927</v>
      </c>
      <c r="B976">
        <f>55*(1/(73/6))</f>
        <v>4.5205479452054798</v>
      </c>
      <c r="E976">
        <f t="shared" si="10"/>
        <v>16.438356164383563</v>
      </c>
    </row>
    <row r="977" spans="1:5" x14ac:dyDescent="0.25">
      <c r="A977" s="3">
        <v>45928</v>
      </c>
      <c r="B977">
        <f>60*(1/(73/6))</f>
        <v>4.9315068493150687</v>
      </c>
      <c r="E977">
        <f t="shared" si="10"/>
        <v>16.438356164383563</v>
      </c>
    </row>
    <row r="978" spans="1:5" x14ac:dyDescent="0.25">
      <c r="A978" s="3">
        <v>45929</v>
      </c>
      <c r="B978">
        <f>82*(1/(73/6))</f>
        <v>6.7397260273972615</v>
      </c>
      <c r="E978">
        <f t="shared" si="10"/>
        <v>16.57254682694996</v>
      </c>
    </row>
    <row r="979" spans="1:5" x14ac:dyDescent="0.25">
      <c r="A979" s="3">
        <v>45930</v>
      </c>
      <c r="B979">
        <f>79*(1/(73/6))</f>
        <v>6.4931506849315079</v>
      </c>
      <c r="E979">
        <f t="shared" si="10"/>
        <v>16.57254682694996</v>
      </c>
    </row>
    <row r="980" spans="1:5" x14ac:dyDescent="0.25">
      <c r="A980" s="3">
        <v>45931</v>
      </c>
      <c r="B980">
        <f>69*(1/(73/6))</f>
        <v>5.6712328767123292</v>
      </c>
      <c r="E980">
        <f t="shared" si="10"/>
        <v>16.371260833100365</v>
      </c>
    </row>
    <row r="981" spans="1:5" x14ac:dyDescent="0.25">
      <c r="A981" s="3">
        <v>45932</v>
      </c>
      <c r="B981">
        <f>67*(1/(73/6))</f>
        <v>5.5068493150684938</v>
      </c>
      <c r="E981">
        <f t="shared" si="10"/>
        <v>16.035784176684377</v>
      </c>
    </row>
    <row r="982" spans="1:5" x14ac:dyDescent="0.25">
      <c r="A982" s="3">
        <v>45933</v>
      </c>
      <c r="B982">
        <f>63*(1/(73/6))</f>
        <v>5.1780821917808222</v>
      </c>
      <c r="E982">
        <f t="shared" si="10"/>
        <v>15.935141179759576</v>
      </c>
    </row>
    <row r="983" spans="1:5" x14ac:dyDescent="0.25">
      <c r="A983" s="3">
        <v>45934</v>
      </c>
      <c r="B983">
        <f>54*(1/(73/6))</f>
        <v>4.4383561643835625</v>
      </c>
      <c r="E983">
        <f t="shared" si="10"/>
        <v>15.901593514117979</v>
      </c>
    </row>
    <row r="984" spans="1:5" x14ac:dyDescent="0.25">
      <c r="A984" s="3">
        <v>45935</v>
      </c>
      <c r="B984">
        <f>57*(1/(73/6))</f>
        <v>4.684931506849316</v>
      </c>
      <c r="E984">
        <f t="shared" si="10"/>
        <v>15.800950517193181</v>
      </c>
    </row>
    <row r="985" spans="1:5" x14ac:dyDescent="0.25">
      <c r="A985" s="3">
        <v>45936</v>
      </c>
      <c r="B985">
        <f>72*(1/(73/6))</f>
        <v>5.9178082191780828</v>
      </c>
      <c r="E985">
        <f t="shared" si="10"/>
        <v>15.465473860777193</v>
      </c>
    </row>
    <row r="986" spans="1:5" x14ac:dyDescent="0.25">
      <c r="A986" s="3">
        <v>45937</v>
      </c>
      <c r="B986">
        <f>76*(1/(73/6))</f>
        <v>6.2465753424657544</v>
      </c>
      <c r="E986">
        <f t="shared" si="10"/>
        <v>15.364830863852395</v>
      </c>
    </row>
    <row r="987" spans="1:5" x14ac:dyDescent="0.25">
      <c r="A987" s="3">
        <v>45938</v>
      </c>
      <c r="B987">
        <f>74*(1/(73/6))</f>
        <v>6.0821917808219181</v>
      </c>
      <c r="E987">
        <f t="shared" si="10"/>
        <v>15.532569192060389</v>
      </c>
    </row>
    <row r="988" spans="1:5" x14ac:dyDescent="0.25">
      <c r="A988" s="3">
        <v>45939</v>
      </c>
      <c r="B988">
        <f>77*(1/(73/6))</f>
        <v>6.3287671232876717</v>
      </c>
      <c r="E988">
        <f t="shared" si="10"/>
        <v>15.868045848476376</v>
      </c>
    </row>
    <row r="989" spans="1:5" x14ac:dyDescent="0.25">
      <c r="A989" s="3">
        <v>45940</v>
      </c>
      <c r="B989">
        <f>69*(1/(73/6))</f>
        <v>5.6712328767123292</v>
      </c>
      <c r="E989">
        <f t="shared" si="10"/>
        <v>16.069331842325976</v>
      </c>
    </row>
    <row r="990" spans="1:5" x14ac:dyDescent="0.25">
      <c r="A990" s="3">
        <v>45941</v>
      </c>
      <c r="B990">
        <f>59*(1/(73/6))</f>
        <v>4.8493150684931514</v>
      </c>
      <c r="E990">
        <f t="shared" si="10"/>
        <v>16.237070170533972</v>
      </c>
    </row>
    <row r="991" spans="1:5" x14ac:dyDescent="0.25">
      <c r="A991" s="3">
        <v>45942</v>
      </c>
      <c r="B991">
        <f>62*(1/(73/6))</f>
        <v>5.0958904109589049</v>
      </c>
      <c r="E991">
        <f t="shared" si="10"/>
        <v>16.404808498741968</v>
      </c>
    </row>
    <row r="992" spans="1:5" x14ac:dyDescent="0.25">
      <c r="A992" s="3">
        <v>45943</v>
      </c>
      <c r="B992">
        <f>78*(1/(73/6))</f>
        <v>6.4109589041095898</v>
      </c>
      <c r="E992">
        <f t="shared" si="10"/>
        <v>16.606094492591559</v>
      </c>
    </row>
    <row r="993" spans="1:5" x14ac:dyDescent="0.25">
      <c r="A993" s="3">
        <v>45944</v>
      </c>
      <c r="B993">
        <f>78*(1/(73/6))</f>
        <v>6.4109589041095898</v>
      </c>
      <c r="E993">
        <f t="shared" si="10"/>
        <v>16.673189823874758</v>
      </c>
    </row>
    <row r="994" spans="1:5" x14ac:dyDescent="0.25">
      <c r="A994" s="3">
        <v>45945</v>
      </c>
      <c r="B994">
        <f>79*(1/(73/6))</f>
        <v>6.4931506849315079</v>
      </c>
      <c r="E994">
        <f t="shared" si="10"/>
        <v>16.840928152082753</v>
      </c>
    </row>
    <row r="995" spans="1:5" x14ac:dyDescent="0.25">
      <c r="A995" s="3">
        <v>45946</v>
      </c>
      <c r="B995">
        <f>76*(1/(73/6))</f>
        <v>6.2465753424657544</v>
      </c>
      <c r="E995">
        <f t="shared" si="10"/>
        <v>16.807380486441154</v>
      </c>
    </row>
    <row r="996" spans="1:5" x14ac:dyDescent="0.25">
      <c r="A996" s="3">
        <v>45947</v>
      </c>
      <c r="B996">
        <f>69*(1/(73/6))</f>
        <v>5.6712328767123292</v>
      </c>
      <c r="E996">
        <f t="shared" si="10"/>
        <v>16.807380486441158</v>
      </c>
    </row>
    <row r="997" spans="1:5" x14ac:dyDescent="0.25">
      <c r="A997" s="3">
        <v>45948</v>
      </c>
      <c r="B997">
        <f>55*(1/(73/6))</f>
        <v>4.5205479452054798</v>
      </c>
      <c r="E997">
        <f t="shared" si="10"/>
        <v>16.673189823874758</v>
      </c>
    </row>
    <row r="998" spans="1:5" x14ac:dyDescent="0.25">
      <c r="A998" s="3">
        <v>45949</v>
      </c>
      <c r="B998">
        <f>55*(1/(73/6))</f>
        <v>4.5205479452054798</v>
      </c>
      <c r="E998">
        <f t="shared" si="10"/>
        <v>16.438356164383563</v>
      </c>
    </row>
    <row r="999" spans="1:5" x14ac:dyDescent="0.25">
      <c r="A999" s="3">
        <v>45950</v>
      </c>
      <c r="B999">
        <f>82*(1/(73/6))</f>
        <v>6.7397260273972615</v>
      </c>
      <c r="E999">
        <f t="shared" si="10"/>
        <v>16.57254682694996</v>
      </c>
    </row>
    <row r="1000" spans="1:5" x14ac:dyDescent="0.25">
      <c r="A1000" s="3">
        <v>45951</v>
      </c>
      <c r="B1000">
        <f>84*(1/(73/6))</f>
        <v>6.9041095890410968</v>
      </c>
      <c r="E1000">
        <f t="shared" si="10"/>
        <v>16.773832820799555</v>
      </c>
    </row>
    <row r="1001" spans="1:5" x14ac:dyDescent="0.25">
      <c r="A1001" s="3">
        <v>45952</v>
      </c>
      <c r="B1001">
        <f>80*(1/(73/6))</f>
        <v>6.5753424657534252</v>
      </c>
      <c r="E1001">
        <f t="shared" si="10"/>
        <v>16.807380486441154</v>
      </c>
    </row>
    <row r="1002" spans="1:5" x14ac:dyDescent="0.25">
      <c r="A1002" s="3">
        <v>45953</v>
      </c>
      <c r="B1002">
        <f>79*(1/(73/6))</f>
        <v>6.4931506849315079</v>
      </c>
      <c r="E1002">
        <f t="shared" si="10"/>
        <v>16.908023483365952</v>
      </c>
    </row>
    <row r="1003" spans="1:5" x14ac:dyDescent="0.25">
      <c r="A1003" s="3">
        <v>45954</v>
      </c>
      <c r="B1003">
        <f>71*(1/(73/6))</f>
        <v>5.8356164383561646</v>
      </c>
      <c r="E1003">
        <f t="shared" si="10"/>
        <v>16.97511881464915</v>
      </c>
    </row>
    <row r="1004" spans="1:5" x14ac:dyDescent="0.25">
      <c r="A1004" s="3">
        <v>45955</v>
      </c>
      <c r="B1004">
        <f>60*(1/(73/6))</f>
        <v>4.9315068493150687</v>
      </c>
      <c r="E1004">
        <f>(AVERAGE(B998:B1004))*(20/7)</f>
        <v>17.142857142857146</v>
      </c>
    </row>
    <row r="1005" spans="1:5" x14ac:dyDescent="0.25">
      <c r="A1005" s="3">
        <v>45956</v>
      </c>
      <c r="B1005">
        <f>63*(1/(73/6))</f>
        <v>5.1780821917808222</v>
      </c>
      <c r="E1005">
        <f>(AVERAGE(B999:B1005))*(20/7)</f>
        <v>17.411238467989943</v>
      </c>
    </row>
    <row r="1006" spans="1:5" x14ac:dyDescent="0.25">
      <c r="A1006" s="3">
        <v>45957</v>
      </c>
      <c r="B1006">
        <f>79*(1/(73/6))</f>
        <v>6.4931506849315079</v>
      </c>
      <c r="E1006">
        <f>(AVERAGE(B1000:B1006))*(20/7)</f>
        <v>17.310595471065138</v>
      </c>
    </row>
    <row r="1007" spans="1:5" x14ac:dyDescent="0.25">
      <c r="A1007" s="3">
        <v>45958</v>
      </c>
      <c r="B1007">
        <f>81*(1/(73/6))</f>
        <v>6.6575342465753433</v>
      </c>
      <c r="E1007">
        <f>(AVERAGE(B1001:B1007))*(20/7)</f>
        <v>17.209952474140344</v>
      </c>
    </row>
    <row r="1008" spans="1:5" x14ac:dyDescent="0.25">
      <c r="A1008" s="3">
        <v>45959</v>
      </c>
      <c r="B1008">
        <f>77*(1/(73/6))</f>
        <v>6.3287671232876717</v>
      </c>
      <c r="E1008">
        <f>(AVERAGE(B1002:B1008))*(20/7)</f>
        <v>17.109309477215547</v>
      </c>
    </row>
    <row r="1009" spans="1:5" x14ac:dyDescent="0.25">
      <c r="A1009" s="3">
        <v>45960</v>
      </c>
      <c r="B1009">
        <f>79*(1/(73/6))</f>
        <v>6.4931506849315079</v>
      </c>
      <c r="E1009">
        <f>(AVERAGE(B1003:B1009))*(20/7)</f>
        <v>17.109309477215547</v>
      </c>
    </row>
    <row r="1010" spans="1:5" x14ac:dyDescent="0.25">
      <c r="A1010" s="3">
        <v>45961</v>
      </c>
      <c r="B1010">
        <f>67*(1/(73/6))</f>
        <v>5.5068493150684938</v>
      </c>
      <c r="E1010">
        <f>(AVERAGE(B1004:B1010))*(20/7)</f>
        <v>16.97511881464915</v>
      </c>
    </row>
    <row r="1011" spans="1:5" x14ac:dyDescent="0.25">
      <c r="A1011" s="3">
        <v>45962</v>
      </c>
      <c r="B1011">
        <f>55*(1/(73/6))</f>
        <v>4.5205479452054798</v>
      </c>
      <c r="E1011">
        <f>(AVERAGE(B1005:B1011))*(20/7)</f>
        <v>16.807380486441158</v>
      </c>
    </row>
    <row r="1012" spans="1:5" x14ac:dyDescent="0.25">
      <c r="A1012" s="3">
        <v>45963</v>
      </c>
      <c r="B1012">
        <f>54*(1/(73/6))</f>
        <v>4.4383561643835625</v>
      </c>
      <c r="E1012">
        <f>(AVERAGE(B1006:B1012))*(20/7)</f>
        <v>16.505451495666762</v>
      </c>
    </row>
    <row r="1013" spans="1:5" x14ac:dyDescent="0.25">
      <c r="A1013" s="3">
        <v>45964</v>
      </c>
      <c r="B1013">
        <f>77*(1/(73/6))</f>
        <v>6.3287671232876717</v>
      </c>
      <c r="E1013">
        <f>(AVERAGE(B1007:B1013))*(20/7)</f>
        <v>16.438356164383563</v>
      </c>
    </row>
    <row r="1014" spans="1:5" x14ac:dyDescent="0.25">
      <c r="A1014" s="3">
        <v>45965</v>
      </c>
      <c r="B1014">
        <f>74*(1/(73/6))</f>
        <v>6.0821917808219181</v>
      </c>
      <c r="E1014">
        <f>(AVERAGE(B1008:B1014))*(20/7)</f>
        <v>16.203522504892369</v>
      </c>
    </row>
    <row r="1015" spans="1:5" x14ac:dyDescent="0.25">
      <c r="A1015" s="3">
        <v>45966</v>
      </c>
      <c r="B1015">
        <f>75*(1/(73/6))</f>
        <v>6.1643835616438363</v>
      </c>
      <c r="E1015">
        <f>(AVERAGE(B1009:B1015))*(20/7)</f>
        <v>16.136427173609174</v>
      </c>
    </row>
    <row r="1016" spans="1:5" x14ac:dyDescent="0.25">
      <c r="A1016" s="3">
        <v>45967</v>
      </c>
      <c r="B1016">
        <f>76*(1/(73/6))</f>
        <v>6.2465753424657544</v>
      </c>
      <c r="E1016">
        <f>(AVERAGE(B1010:B1016))*(20/7)</f>
        <v>16.035784176684377</v>
      </c>
    </row>
    <row r="1017" spans="1:5" x14ac:dyDescent="0.25">
      <c r="A1017" s="3">
        <v>45968</v>
      </c>
      <c r="B1017">
        <f>67*(1/(73/6))</f>
        <v>5.5068493150684938</v>
      </c>
      <c r="E1017">
        <f>(AVERAGE(B1011:B1017))*(20/7)</f>
        <v>16.035784176684377</v>
      </c>
    </row>
    <row r="1018" spans="1:5" x14ac:dyDescent="0.25">
      <c r="A1018" s="3">
        <v>45969</v>
      </c>
      <c r="B1018">
        <f>55*(1/(73/6))</f>
        <v>4.5205479452054798</v>
      </c>
      <c r="E1018">
        <f>(AVERAGE(B1012:B1018))*(20/7)</f>
        <v>16.03578417668437</v>
      </c>
    </row>
    <row r="1019" spans="1:5" x14ac:dyDescent="0.25">
      <c r="A1019" s="3">
        <v>45970</v>
      </c>
      <c r="B1019">
        <f>58*(1/(73/6))</f>
        <v>4.7671232876712333</v>
      </c>
      <c r="E1019">
        <f>(AVERAGE(B1013:B1019))*(20/7)</f>
        <v>16.16997483925077</v>
      </c>
    </row>
    <row r="1020" spans="1:5" x14ac:dyDescent="0.25">
      <c r="A1020" s="3">
        <v>45971</v>
      </c>
      <c r="B1020">
        <f>78*(1/(73/6))</f>
        <v>6.4109589041095898</v>
      </c>
      <c r="E1020">
        <f>(AVERAGE(B1014:B1020))*(20/7)</f>
        <v>16.203522504892369</v>
      </c>
    </row>
    <row r="1021" spans="1:5" x14ac:dyDescent="0.25">
      <c r="A1021" s="3">
        <v>45972</v>
      </c>
      <c r="B1021">
        <f>79*(1/(73/6))</f>
        <v>6.4931506849315079</v>
      </c>
      <c r="E1021">
        <f>(AVERAGE(B1015:B1021))*(20/7)</f>
        <v>16.371260833100365</v>
      </c>
    </row>
    <row r="1022" spans="1:5" x14ac:dyDescent="0.25">
      <c r="A1022" s="3">
        <v>45973</v>
      </c>
      <c r="B1022">
        <f>78*(1/(73/6))</f>
        <v>6.4109589041095898</v>
      </c>
      <c r="E1022">
        <f>(AVERAGE(B1016:B1022))*(20/7)</f>
        <v>16.471903830025163</v>
      </c>
    </row>
    <row r="1023" spans="1:5" x14ac:dyDescent="0.25">
      <c r="A1023" s="3">
        <v>45974</v>
      </c>
      <c r="B1023">
        <f>76*(1/(73/6))</f>
        <v>6.2465753424657544</v>
      </c>
      <c r="E1023">
        <f>(AVERAGE(B1017:B1023))*(20/7)</f>
        <v>16.471903830025163</v>
      </c>
    </row>
    <row r="1024" spans="1:5" x14ac:dyDescent="0.25">
      <c r="A1024" s="3">
        <v>45975</v>
      </c>
      <c r="B1024">
        <f>67*(1/(73/6))</f>
        <v>5.5068493150684938</v>
      </c>
      <c r="E1024">
        <f>(AVERAGE(B1018:B1024))*(20/7)</f>
        <v>16.471903830025163</v>
      </c>
    </row>
    <row r="1025" spans="1:5" x14ac:dyDescent="0.25">
      <c r="A1025" s="3">
        <v>45976</v>
      </c>
      <c r="B1025">
        <f>57*(1/(73/6))</f>
        <v>4.684931506849316</v>
      </c>
      <c r="E1025">
        <f>(AVERAGE(B1019:B1025))*(20/7)</f>
        <v>16.538999161308361</v>
      </c>
    </row>
    <row r="1026" spans="1:5" x14ac:dyDescent="0.25">
      <c r="A1026" s="3">
        <v>45977</v>
      </c>
      <c r="B1026">
        <f>57*(1/(73/6))</f>
        <v>4.684931506849316</v>
      </c>
      <c r="E1026">
        <f>(AVERAGE(B1020:B1026))*(20/7)</f>
        <v>16.505451495666762</v>
      </c>
    </row>
    <row r="1027" spans="1:5" x14ac:dyDescent="0.25">
      <c r="A1027" s="3">
        <v>45978</v>
      </c>
      <c r="B1027">
        <f>75*(1/(73/6))</f>
        <v>6.1643835616438363</v>
      </c>
      <c r="E1027">
        <f>(AVERAGE(B1021:B1027))*(20/7)</f>
        <v>16.404808498741968</v>
      </c>
    </row>
    <row r="1028" spans="1:5" x14ac:dyDescent="0.25">
      <c r="A1028" s="3">
        <v>45979</v>
      </c>
      <c r="B1028">
        <f>100*(1/(73/6))</f>
        <v>8.2191780821917817</v>
      </c>
      <c r="E1028">
        <f>(AVERAGE(B1022:B1028))*(20/7)</f>
        <v>17.109309477215547</v>
      </c>
    </row>
    <row r="1029" spans="1:5" x14ac:dyDescent="0.25">
      <c r="A1029" s="3">
        <v>45980</v>
      </c>
      <c r="B1029">
        <f>75*(1/(73/6))</f>
        <v>6.1643835616438363</v>
      </c>
      <c r="E1029">
        <f>(AVERAGE(B1023:B1029))*(20/7)</f>
        <v>17.008666480290749</v>
      </c>
    </row>
    <row r="1030" spans="1:5" x14ac:dyDescent="0.25">
      <c r="A1030" s="3">
        <v>45981</v>
      </c>
      <c r="B1030">
        <f>71*(1/(73/6))</f>
        <v>5.8356164383561646</v>
      </c>
      <c r="E1030">
        <f>(AVERAGE(B1024:B1030))*(20/7)</f>
        <v>16.840928152082753</v>
      </c>
    </row>
    <row r="1031" spans="1:5" x14ac:dyDescent="0.25">
      <c r="A1031" s="3">
        <v>45982</v>
      </c>
      <c r="B1031">
        <f>63*(1/(73/6))</f>
        <v>5.1780821917808222</v>
      </c>
      <c r="E1031">
        <f>(AVERAGE(B1025:B1031))*(20/7)</f>
        <v>16.706737489516353</v>
      </c>
    </row>
    <row r="1032" spans="1:5" x14ac:dyDescent="0.25">
      <c r="A1032" s="3">
        <v>45983</v>
      </c>
      <c r="B1032">
        <f>54*(1/(73/6))</f>
        <v>4.4383561643835625</v>
      </c>
      <c r="E1032">
        <f>(AVERAGE(B1026:B1032))*(20/7)</f>
        <v>16.606094492591559</v>
      </c>
    </row>
    <row r="1033" spans="1:5" x14ac:dyDescent="0.25">
      <c r="A1033" s="3">
        <v>45984</v>
      </c>
      <c r="B1033">
        <f>53*(1/(73/6))</f>
        <v>4.3561643835616444</v>
      </c>
      <c r="E1033">
        <f>(AVERAGE(B1027:B1033))*(20/7)</f>
        <v>16.471903830025163</v>
      </c>
    </row>
    <row r="1034" spans="1:5" x14ac:dyDescent="0.25">
      <c r="A1034" s="3">
        <v>45985</v>
      </c>
      <c r="B1034">
        <f>69*(1/(73/6))</f>
        <v>5.6712328767123292</v>
      </c>
      <c r="E1034">
        <f>(AVERAGE(B1028:B1034))*(20/7)</f>
        <v>16.270617836175571</v>
      </c>
    </row>
    <row r="1035" spans="1:5" x14ac:dyDescent="0.25">
      <c r="A1035" s="3">
        <v>45986</v>
      </c>
      <c r="B1035">
        <f>69*(1/(73/6))</f>
        <v>5.6712328767123292</v>
      </c>
      <c r="E1035">
        <f>(AVERAGE(B1029:B1035))*(20/7)</f>
        <v>15.230640201285995</v>
      </c>
    </row>
    <row r="1036" spans="1:5" x14ac:dyDescent="0.25">
      <c r="A1036" s="3">
        <v>45987</v>
      </c>
      <c r="B1036">
        <f>65*(1/(73/6))</f>
        <v>5.3424657534246585</v>
      </c>
      <c r="E1036">
        <f>(AVERAGE(B1030:B1036))*(20/7)</f>
        <v>14.895163544870003</v>
      </c>
    </row>
    <row r="1037" spans="1:5" x14ac:dyDescent="0.25">
      <c r="A1037" s="3">
        <v>45988</v>
      </c>
      <c r="B1037">
        <f>65*(1/(73/6))</f>
        <v>5.3424657534246585</v>
      </c>
      <c r="E1037">
        <f>(AVERAGE(B1031:B1037))*(20/7)</f>
        <v>14.693877551020412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 Jain</dc:creator>
  <cp:lastModifiedBy>Adeesh Jain</cp:lastModifiedBy>
  <dcterms:created xsi:type="dcterms:W3CDTF">2025-12-10T12:24:48Z</dcterms:created>
  <dcterms:modified xsi:type="dcterms:W3CDTF">2025-12-15T17:40:01Z</dcterms:modified>
</cp:coreProperties>
</file>