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es\OneDrive\Desktop\NII4\"/>
    </mc:Choice>
  </mc:AlternateContent>
  <xr:revisionPtr revIDLastSave="0" documentId="13_ncr:1_{4B0C7263-F8EA-46C6-BA30-6C5EC458E239}" xr6:coauthVersionLast="47" xr6:coauthVersionMax="47" xr10:uidLastSave="{00000000-0000-0000-0000-000000000000}"/>
  <bookViews>
    <workbookView xWindow="-120" yWindow="-120" windowWidth="29040" windowHeight="15720" xr2:uid="{8B1727CC-D2EC-426F-A0EC-3C5E0872D9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10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</calcChain>
</file>

<file path=xl/sharedStrings.xml><?xml version="1.0" encoding="utf-8"?>
<sst xmlns="http://schemas.openxmlformats.org/spreadsheetml/2006/main" count="3" uniqueCount="3">
  <si>
    <t>Day</t>
  </si>
  <si>
    <t>DeepSeek: (Worldwide)</t>
  </si>
  <si>
    <t>Rolling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</si>
</sst>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5268-4D61-484D-9D92-04DB68BFE6A6}">
  <dimension ref="A1:E363"/>
  <sheetViews>
    <sheetView tabSelected="1" topLeftCell="A331" workbookViewId="0">
      <selection activeCell="H360" sqref="H360"/>
    </sheetView>
  </sheetViews>
  <sheetFormatPr defaultRowHeight="15" x14ac:dyDescent="0.25"/>
  <cols>
    <col min="1" max="1" width="16.28515625" customWidth="1"/>
    <col min="5" max="5" width="16.5703125" customWidth="1"/>
  </cols>
  <sheetData>
    <row r="1" spans="1:5" x14ac:dyDescent="0.25">
      <c r="A1" t="s">
        <v>0</v>
      </c>
      <c r="B1" t="s">
        <v>1</v>
      </c>
      <c r="E1" t="s">
        <v>2</v>
      </c>
    </row>
    <row r="2" spans="1:5" x14ac:dyDescent="0.25">
      <c r="A2" s="1">
        <v>45627</v>
      </c>
      <c r="B2">
        <v>0</v>
      </c>
    </row>
    <row r="3" spans="1:5" x14ac:dyDescent="0.25">
      <c r="A3" s="1">
        <v>45628</v>
      </c>
      <c r="B3">
        <v>0</v>
      </c>
    </row>
    <row r="4" spans="1:5" x14ac:dyDescent="0.25">
      <c r="A4" s="1">
        <v>45629</v>
      </c>
      <c r="B4">
        <v>0</v>
      </c>
    </row>
    <row r="5" spans="1:5" x14ac:dyDescent="0.25">
      <c r="A5" s="1">
        <v>45630</v>
      </c>
      <c r="B5">
        <v>0</v>
      </c>
    </row>
    <row r="6" spans="1:5" x14ac:dyDescent="0.25">
      <c r="A6" s="1">
        <v>45631</v>
      </c>
      <c r="B6">
        <v>0</v>
      </c>
    </row>
    <row r="7" spans="1:5" x14ac:dyDescent="0.25">
      <c r="A7" s="1">
        <v>45632</v>
      </c>
      <c r="B7">
        <v>0</v>
      </c>
    </row>
    <row r="8" spans="1:5" x14ac:dyDescent="0.25">
      <c r="A8" s="1">
        <v>45633</v>
      </c>
      <c r="B8">
        <v>0</v>
      </c>
    </row>
    <row r="9" spans="1:5" x14ac:dyDescent="0.25">
      <c r="A9" s="1">
        <v>45634</v>
      </c>
      <c r="B9">
        <v>0</v>
      </c>
    </row>
    <row r="10" spans="1:5" x14ac:dyDescent="0.25">
      <c r="A10" s="1">
        <v>45635</v>
      </c>
      <c r="B10">
        <v>0</v>
      </c>
      <c r="E10">
        <f>AVERAGE(B4:B10)</f>
        <v>0</v>
      </c>
    </row>
    <row r="11" spans="1:5" x14ac:dyDescent="0.25">
      <c r="A11" s="1">
        <v>45636</v>
      </c>
      <c r="B11">
        <v>0</v>
      </c>
      <c r="E11">
        <f t="shared" ref="E11:E74" si="0">AVERAGE(B5:B11)</f>
        <v>0</v>
      </c>
    </row>
    <row r="12" spans="1:5" x14ac:dyDescent="0.25">
      <c r="A12" s="1">
        <v>45637</v>
      </c>
      <c r="B12">
        <v>0</v>
      </c>
      <c r="E12">
        <f t="shared" si="0"/>
        <v>0</v>
      </c>
    </row>
    <row r="13" spans="1:5" x14ac:dyDescent="0.25">
      <c r="A13" s="1">
        <v>45638</v>
      </c>
      <c r="B13">
        <v>0</v>
      </c>
      <c r="E13">
        <f t="shared" si="0"/>
        <v>0</v>
      </c>
    </row>
    <row r="14" spans="1:5" x14ac:dyDescent="0.25">
      <c r="A14" s="1">
        <v>45639</v>
      </c>
      <c r="B14">
        <v>0</v>
      </c>
      <c r="E14">
        <f t="shared" si="0"/>
        <v>0</v>
      </c>
    </row>
    <row r="15" spans="1:5" x14ac:dyDescent="0.25">
      <c r="A15" s="1">
        <v>45640</v>
      </c>
      <c r="B15">
        <v>0</v>
      </c>
      <c r="E15">
        <f t="shared" si="0"/>
        <v>0</v>
      </c>
    </row>
    <row r="16" spans="1:5" x14ac:dyDescent="0.25">
      <c r="A16" s="1">
        <v>45641</v>
      </c>
      <c r="B16">
        <v>0</v>
      </c>
      <c r="E16">
        <f t="shared" si="0"/>
        <v>0</v>
      </c>
    </row>
    <row r="17" spans="1:5" x14ac:dyDescent="0.25">
      <c r="A17" s="1">
        <v>45642</v>
      </c>
      <c r="B17">
        <v>0</v>
      </c>
      <c r="E17">
        <f t="shared" si="0"/>
        <v>0</v>
      </c>
    </row>
    <row r="18" spans="1:5" x14ac:dyDescent="0.25">
      <c r="A18" s="1">
        <v>45643</v>
      </c>
      <c r="B18">
        <v>0</v>
      </c>
      <c r="E18">
        <f t="shared" si="0"/>
        <v>0</v>
      </c>
    </row>
    <row r="19" spans="1:5" x14ac:dyDescent="0.25">
      <c r="A19" s="1">
        <v>45644</v>
      </c>
      <c r="B19">
        <v>0</v>
      </c>
      <c r="E19">
        <f t="shared" si="0"/>
        <v>0</v>
      </c>
    </row>
    <row r="20" spans="1:5" x14ac:dyDescent="0.25">
      <c r="A20" s="1">
        <v>45645</v>
      </c>
      <c r="B20">
        <v>0</v>
      </c>
      <c r="E20">
        <f t="shared" si="0"/>
        <v>0</v>
      </c>
    </row>
    <row r="21" spans="1:5" x14ac:dyDescent="0.25">
      <c r="A21" s="1">
        <v>45646</v>
      </c>
      <c r="B21">
        <v>0</v>
      </c>
      <c r="E21">
        <f t="shared" si="0"/>
        <v>0</v>
      </c>
    </row>
    <row r="22" spans="1:5" x14ac:dyDescent="0.25">
      <c r="A22" s="1">
        <v>45647</v>
      </c>
      <c r="B22">
        <v>0</v>
      </c>
      <c r="E22">
        <f t="shared" si="0"/>
        <v>0</v>
      </c>
    </row>
    <row r="23" spans="1:5" x14ac:dyDescent="0.25">
      <c r="A23" s="1">
        <v>45648</v>
      </c>
      <c r="B23">
        <v>0</v>
      </c>
      <c r="E23">
        <f t="shared" si="0"/>
        <v>0</v>
      </c>
    </row>
    <row r="24" spans="1:5" x14ac:dyDescent="0.25">
      <c r="A24" s="1">
        <v>45649</v>
      </c>
      <c r="B24">
        <v>0</v>
      </c>
      <c r="E24">
        <f t="shared" si="0"/>
        <v>0</v>
      </c>
    </row>
    <row r="25" spans="1:5" x14ac:dyDescent="0.25">
      <c r="A25" s="1">
        <v>45650</v>
      </c>
      <c r="B25">
        <v>0</v>
      </c>
      <c r="E25">
        <f t="shared" si="0"/>
        <v>0</v>
      </c>
    </row>
    <row r="26" spans="1:5" x14ac:dyDescent="0.25">
      <c r="A26" s="1">
        <v>45651</v>
      </c>
      <c r="B26">
        <v>0</v>
      </c>
      <c r="E26">
        <f t="shared" si="0"/>
        <v>0</v>
      </c>
    </row>
    <row r="27" spans="1:5" x14ac:dyDescent="0.25">
      <c r="A27" s="1">
        <v>45652</v>
      </c>
      <c r="B27">
        <v>0</v>
      </c>
      <c r="E27">
        <f t="shared" si="0"/>
        <v>0</v>
      </c>
    </row>
    <row r="28" spans="1:5" x14ac:dyDescent="0.25">
      <c r="A28" s="1">
        <v>45653</v>
      </c>
      <c r="B28">
        <v>1</v>
      </c>
      <c r="E28">
        <f t="shared" si="0"/>
        <v>0.14285714285714285</v>
      </c>
    </row>
    <row r="29" spans="1:5" x14ac:dyDescent="0.25">
      <c r="A29" s="1">
        <v>45654</v>
      </c>
      <c r="B29">
        <v>1</v>
      </c>
      <c r="E29">
        <f t="shared" si="0"/>
        <v>0.2857142857142857</v>
      </c>
    </row>
    <row r="30" spans="1:5" x14ac:dyDescent="0.25">
      <c r="A30" s="1">
        <v>45655</v>
      </c>
      <c r="B30">
        <v>1</v>
      </c>
      <c r="E30">
        <f t="shared" si="0"/>
        <v>0.42857142857142855</v>
      </c>
    </row>
    <row r="31" spans="1:5" x14ac:dyDescent="0.25">
      <c r="A31" s="1">
        <v>45656</v>
      </c>
      <c r="B31">
        <v>1</v>
      </c>
      <c r="E31">
        <f t="shared" si="0"/>
        <v>0.5714285714285714</v>
      </c>
    </row>
    <row r="32" spans="1:5" x14ac:dyDescent="0.25">
      <c r="A32" s="1">
        <v>45657</v>
      </c>
      <c r="B32">
        <v>1</v>
      </c>
      <c r="E32">
        <f t="shared" si="0"/>
        <v>0.7142857142857143</v>
      </c>
    </row>
    <row r="33" spans="1:5" x14ac:dyDescent="0.25">
      <c r="A33" s="1">
        <v>45658</v>
      </c>
      <c r="B33">
        <v>1</v>
      </c>
      <c r="E33">
        <f t="shared" si="0"/>
        <v>0.8571428571428571</v>
      </c>
    </row>
    <row r="34" spans="1:5" x14ac:dyDescent="0.25">
      <c r="A34" s="1">
        <v>45659</v>
      </c>
      <c r="B34">
        <v>1</v>
      </c>
      <c r="E34">
        <f t="shared" si="0"/>
        <v>1</v>
      </c>
    </row>
    <row r="35" spans="1:5" x14ac:dyDescent="0.25">
      <c r="A35" s="1">
        <v>45660</v>
      </c>
      <c r="B35">
        <v>1</v>
      </c>
      <c r="E35">
        <f t="shared" si="0"/>
        <v>1</v>
      </c>
    </row>
    <row r="36" spans="1:5" x14ac:dyDescent="0.25">
      <c r="A36" s="1">
        <v>45661</v>
      </c>
      <c r="B36">
        <v>1</v>
      </c>
      <c r="E36">
        <f t="shared" si="0"/>
        <v>1</v>
      </c>
    </row>
    <row r="37" spans="1:5" x14ac:dyDescent="0.25">
      <c r="A37" s="1">
        <v>45662</v>
      </c>
      <c r="B37">
        <v>1</v>
      </c>
      <c r="E37">
        <f t="shared" si="0"/>
        <v>1</v>
      </c>
    </row>
    <row r="38" spans="1:5" x14ac:dyDescent="0.25">
      <c r="A38" s="1">
        <v>45663</v>
      </c>
      <c r="B38">
        <v>1</v>
      </c>
      <c r="E38">
        <f t="shared" si="0"/>
        <v>1</v>
      </c>
    </row>
    <row r="39" spans="1:5" x14ac:dyDescent="0.25">
      <c r="A39" s="1">
        <v>45664</v>
      </c>
      <c r="B39">
        <v>1</v>
      </c>
      <c r="E39">
        <f t="shared" si="0"/>
        <v>1</v>
      </c>
    </row>
    <row r="40" spans="1:5" x14ac:dyDescent="0.25">
      <c r="A40" s="1">
        <v>45665</v>
      </c>
      <c r="B40">
        <v>1</v>
      </c>
      <c r="E40">
        <f t="shared" si="0"/>
        <v>1</v>
      </c>
    </row>
    <row r="41" spans="1:5" x14ac:dyDescent="0.25">
      <c r="A41" s="1">
        <v>45666</v>
      </c>
      <c r="B41">
        <v>1</v>
      </c>
      <c r="E41">
        <f t="shared" si="0"/>
        <v>1</v>
      </c>
    </row>
    <row r="42" spans="1:5" x14ac:dyDescent="0.25">
      <c r="A42" s="1">
        <v>45667</v>
      </c>
      <c r="B42">
        <v>1</v>
      </c>
      <c r="E42">
        <f t="shared" si="0"/>
        <v>1</v>
      </c>
    </row>
    <row r="43" spans="1:5" x14ac:dyDescent="0.25">
      <c r="A43" s="1">
        <v>45668</v>
      </c>
      <c r="B43">
        <v>1</v>
      </c>
      <c r="E43">
        <f t="shared" si="0"/>
        <v>1</v>
      </c>
    </row>
    <row r="44" spans="1:5" x14ac:dyDescent="0.25">
      <c r="A44" s="1">
        <v>45669</v>
      </c>
      <c r="B44">
        <v>1</v>
      </c>
      <c r="E44">
        <f t="shared" si="0"/>
        <v>1</v>
      </c>
    </row>
    <row r="45" spans="1:5" x14ac:dyDescent="0.25">
      <c r="A45" s="1">
        <v>45670</v>
      </c>
      <c r="B45">
        <v>1</v>
      </c>
      <c r="E45">
        <f t="shared" si="0"/>
        <v>1</v>
      </c>
    </row>
    <row r="46" spans="1:5" x14ac:dyDescent="0.25">
      <c r="A46" s="1">
        <v>45671</v>
      </c>
      <c r="B46">
        <v>1</v>
      </c>
      <c r="E46">
        <f t="shared" si="0"/>
        <v>1</v>
      </c>
    </row>
    <row r="47" spans="1:5" x14ac:dyDescent="0.25">
      <c r="A47" s="1">
        <v>45672</v>
      </c>
      <c r="B47">
        <v>1</v>
      </c>
      <c r="E47">
        <f t="shared" si="0"/>
        <v>1</v>
      </c>
    </row>
    <row r="48" spans="1:5" x14ac:dyDescent="0.25">
      <c r="A48" s="1">
        <v>45673</v>
      </c>
      <c r="B48">
        <v>1</v>
      </c>
      <c r="E48">
        <f t="shared" si="0"/>
        <v>1</v>
      </c>
    </row>
    <row r="49" spans="1:5" x14ac:dyDescent="0.25">
      <c r="A49" s="1">
        <v>45674</v>
      </c>
      <c r="B49">
        <v>1</v>
      </c>
      <c r="E49">
        <f t="shared" si="0"/>
        <v>1</v>
      </c>
    </row>
    <row r="50" spans="1:5" x14ac:dyDescent="0.25">
      <c r="A50" s="1">
        <v>45675</v>
      </c>
      <c r="B50">
        <v>1</v>
      </c>
      <c r="E50">
        <f t="shared" si="0"/>
        <v>1</v>
      </c>
    </row>
    <row r="51" spans="1:5" x14ac:dyDescent="0.25">
      <c r="A51" s="1">
        <v>45676</v>
      </c>
      <c r="B51">
        <v>1</v>
      </c>
      <c r="E51">
        <f t="shared" si="0"/>
        <v>1</v>
      </c>
    </row>
    <row r="52" spans="1:5" x14ac:dyDescent="0.25">
      <c r="A52" s="1">
        <v>45677</v>
      </c>
      <c r="B52">
        <v>1</v>
      </c>
      <c r="E52">
        <f t="shared" si="0"/>
        <v>1</v>
      </c>
    </row>
    <row r="53" spans="1:5" x14ac:dyDescent="0.25">
      <c r="A53" s="1">
        <v>45678</v>
      </c>
      <c r="B53">
        <v>3</v>
      </c>
      <c r="E53">
        <f t="shared" si="0"/>
        <v>1.2857142857142858</v>
      </c>
    </row>
    <row r="54" spans="1:5" x14ac:dyDescent="0.25">
      <c r="A54" s="1">
        <v>45679</v>
      </c>
      <c r="B54">
        <v>4</v>
      </c>
      <c r="E54">
        <f t="shared" si="0"/>
        <v>1.7142857142857142</v>
      </c>
    </row>
    <row r="55" spans="1:5" x14ac:dyDescent="0.25">
      <c r="A55" s="1">
        <v>45680</v>
      </c>
      <c r="B55">
        <v>4</v>
      </c>
      <c r="E55">
        <f t="shared" si="0"/>
        <v>2.1428571428571428</v>
      </c>
    </row>
    <row r="56" spans="1:5" x14ac:dyDescent="0.25">
      <c r="A56" s="1">
        <v>45681</v>
      </c>
      <c r="B56">
        <v>5</v>
      </c>
      <c r="E56">
        <f t="shared" si="0"/>
        <v>2.7142857142857144</v>
      </c>
    </row>
    <row r="57" spans="1:5" x14ac:dyDescent="0.25">
      <c r="A57" s="1">
        <v>45682</v>
      </c>
      <c r="B57">
        <v>7</v>
      </c>
      <c r="E57">
        <f t="shared" si="0"/>
        <v>3.5714285714285716</v>
      </c>
    </row>
    <row r="58" spans="1:5" x14ac:dyDescent="0.25">
      <c r="A58" s="1">
        <v>45683</v>
      </c>
      <c r="B58">
        <v>12</v>
      </c>
      <c r="E58">
        <f t="shared" si="0"/>
        <v>5.1428571428571432</v>
      </c>
    </row>
    <row r="59" spans="1:5" x14ac:dyDescent="0.25">
      <c r="A59" s="1">
        <v>45684</v>
      </c>
      <c r="B59">
        <v>64</v>
      </c>
      <c r="E59">
        <f t="shared" si="0"/>
        <v>14.142857142857142</v>
      </c>
    </row>
    <row r="60" spans="1:5" x14ac:dyDescent="0.25">
      <c r="A60" s="1">
        <v>45685</v>
      </c>
      <c r="B60">
        <v>100</v>
      </c>
      <c r="E60">
        <f t="shared" si="0"/>
        <v>28</v>
      </c>
    </row>
    <row r="61" spans="1:5" x14ac:dyDescent="0.25">
      <c r="A61" s="1">
        <v>45686</v>
      </c>
      <c r="B61">
        <v>72</v>
      </c>
      <c r="E61">
        <f t="shared" si="0"/>
        <v>37.714285714285715</v>
      </c>
    </row>
    <row r="62" spans="1:5" x14ac:dyDescent="0.25">
      <c r="A62" s="1">
        <v>45687</v>
      </c>
      <c r="B62">
        <v>48</v>
      </c>
      <c r="E62">
        <f t="shared" si="0"/>
        <v>44</v>
      </c>
    </row>
    <row r="63" spans="1:5" x14ac:dyDescent="0.25">
      <c r="A63" s="1">
        <v>45688</v>
      </c>
      <c r="B63">
        <v>37</v>
      </c>
      <c r="E63">
        <f t="shared" si="0"/>
        <v>48.571428571428569</v>
      </c>
    </row>
    <row r="64" spans="1:5" x14ac:dyDescent="0.25">
      <c r="A64" s="1">
        <v>45689</v>
      </c>
      <c r="B64">
        <v>27</v>
      </c>
      <c r="E64">
        <f t="shared" si="0"/>
        <v>51.428571428571431</v>
      </c>
    </row>
    <row r="65" spans="1:5" x14ac:dyDescent="0.25">
      <c r="A65" s="1">
        <v>45690</v>
      </c>
      <c r="B65">
        <v>24</v>
      </c>
      <c r="E65">
        <f t="shared" si="0"/>
        <v>53.142857142857146</v>
      </c>
    </row>
    <row r="66" spans="1:5" x14ac:dyDescent="0.25">
      <c r="A66" s="1">
        <v>45691</v>
      </c>
      <c r="B66">
        <v>27</v>
      </c>
      <c r="E66">
        <f t="shared" si="0"/>
        <v>47.857142857142854</v>
      </c>
    </row>
    <row r="67" spans="1:5" x14ac:dyDescent="0.25">
      <c r="A67" s="1">
        <v>45692</v>
      </c>
      <c r="B67">
        <v>25</v>
      </c>
      <c r="E67">
        <f t="shared" si="0"/>
        <v>37.142857142857146</v>
      </c>
    </row>
    <row r="68" spans="1:5" x14ac:dyDescent="0.25">
      <c r="A68" s="1">
        <v>45693</v>
      </c>
      <c r="B68">
        <v>25</v>
      </c>
      <c r="E68">
        <f t="shared" si="0"/>
        <v>30.428571428571427</v>
      </c>
    </row>
    <row r="69" spans="1:5" x14ac:dyDescent="0.25">
      <c r="A69" s="1">
        <v>45694</v>
      </c>
      <c r="B69">
        <v>23</v>
      </c>
      <c r="E69">
        <f t="shared" si="0"/>
        <v>26.857142857142858</v>
      </c>
    </row>
    <row r="70" spans="1:5" x14ac:dyDescent="0.25">
      <c r="A70" s="1">
        <v>45695</v>
      </c>
      <c r="B70">
        <v>19</v>
      </c>
      <c r="E70">
        <f t="shared" si="0"/>
        <v>24.285714285714285</v>
      </c>
    </row>
    <row r="71" spans="1:5" x14ac:dyDescent="0.25">
      <c r="A71" s="1">
        <v>45696</v>
      </c>
      <c r="B71">
        <v>15</v>
      </c>
      <c r="E71">
        <f t="shared" si="0"/>
        <v>22.571428571428573</v>
      </c>
    </row>
    <row r="72" spans="1:5" x14ac:dyDescent="0.25">
      <c r="A72" s="1">
        <v>45697</v>
      </c>
      <c r="B72">
        <v>14</v>
      </c>
      <c r="E72">
        <f t="shared" si="0"/>
        <v>21.142857142857142</v>
      </c>
    </row>
    <row r="73" spans="1:5" x14ac:dyDescent="0.25">
      <c r="A73" s="1">
        <v>45698</v>
      </c>
      <c r="B73">
        <v>17</v>
      </c>
      <c r="E73">
        <f t="shared" si="0"/>
        <v>19.714285714285715</v>
      </c>
    </row>
    <row r="74" spans="1:5" x14ac:dyDescent="0.25">
      <c r="A74" s="1">
        <v>45699</v>
      </c>
      <c r="B74">
        <v>16</v>
      </c>
      <c r="E74">
        <f t="shared" si="0"/>
        <v>18.428571428571427</v>
      </c>
    </row>
    <row r="75" spans="1:5" x14ac:dyDescent="0.25">
      <c r="A75" s="1">
        <v>45700</v>
      </c>
      <c r="B75">
        <v>15</v>
      </c>
      <c r="E75">
        <f t="shared" ref="E75:E138" si="1">AVERAGE(B69:B75)</f>
        <v>17</v>
      </c>
    </row>
    <row r="76" spans="1:5" x14ac:dyDescent="0.25">
      <c r="A76" s="1">
        <v>45701</v>
      </c>
      <c r="B76">
        <v>13</v>
      </c>
      <c r="E76">
        <f t="shared" si="1"/>
        <v>15.571428571428571</v>
      </c>
    </row>
    <row r="77" spans="1:5" x14ac:dyDescent="0.25">
      <c r="A77" s="1">
        <v>45702</v>
      </c>
      <c r="B77">
        <v>12</v>
      </c>
      <c r="E77">
        <f t="shared" si="1"/>
        <v>14.571428571428571</v>
      </c>
    </row>
    <row r="78" spans="1:5" x14ac:dyDescent="0.25">
      <c r="A78" s="1">
        <v>45703</v>
      </c>
      <c r="B78">
        <v>10</v>
      </c>
      <c r="E78">
        <f t="shared" si="1"/>
        <v>13.857142857142858</v>
      </c>
    </row>
    <row r="79" spans="1:5" x14ac:dyDescent="0.25">
      <c r="A79" s="1">
        <v>45704</v>
      </c>
      <c r="B79">
        <v>11</v>
      </c>
      <c r="E79">
        <f t="shared" si="1"/>
        <v>13.428571428571429</v>
      </c>
    </row>
    <row r="80" spans="1:5" x14ac:dyDescent="0.25">
      <c r="A80" s="1">
        <v>45705</v>
      </c>
      <c r="B80">
        <v>14</v>
      </c>
      <c r="E80">
        <f t="shared" si="1"/>
        <v>13</v>
      </c>
    </row>
    <row r="81" spans="1:5" x14ac:dyDescent="0.25">
      <c r="A81" s="1">
        <v>45706</v>
      </c>
      <c r="B81">
        <v>14</v>
      </c>
      <c r="E81">
        <f t="shared" si="1"/>
        <v>12.714285714285714</v>
      </c>
    </row>
    <row r="82" spans="1:5" x14ac:dyDescent="0.25">
      <c r="A82" s="1">
        <v>45707</v>
      </c>
      <c r="B82">
        <v>13</v>
      </c>
      <c r="E82">
        <f t="shared" si="1"/>
        <v>12.428571428571429</v>
      </c>
    </row>
    <row r="83" spans="1:5" x14ac:dyDescent="0.25">
      <c r="A83" s="1">
        <v>45708</v>
      </c>
      <c r="B83">
        <v>12</v>
      </c>
      <c r="E83">
        <f t="shared" si="1"/>
        <v>12.285714285714286</v>
      </c>
    </row>
    <row r="84" spans="1:5" x14ac:dyDescent="0.25">
      <c r="A84" s="1">
        <v>45709</v>
      </c>
      <c r="B84">
        <v>11</v>
      </c>
      <c r="E84">
        <f t="shared" si="1"/>
        <v>12.142857142857142</v>
      </c>
    </row>
    <row r="85" spans="1:5" x14ac:dyDescent="0.25">
      <c r="A85" s="1">
        <v>45710</v>
      </c>
      <c r="B85">
        <v>9</v>
      </c>
      <c r="E85">
        <f t="shared" si="1"/>
        <v>12</v>
      </c>
    </row>
    <row r="86" spans="1:5" x14ac:dyDescent="0.25">
      <c r="A86" s="1">
        <v>45711</v>
      </c>
      <c r="B86">
        <v>9</v>
      </c>
      <c r="E86">
        <f t="shared" si="1"/>
        <v>11.714285714285714</v>
      </c>
    </row>
    <row r="87" spans="1:5" x14ac:dyDescent="0.25">
      <c r="A87" s="1">
        <v>45712</v>
      </c>
      <c r="B87">
        <v>12</v>
      </c>
      <c r="E87">
        <f t="shared" si="1"/>
        <v>11.428571428571429</v>
      </c>
    </row>
    <row r="88" spans="1:5" x14ac:dyDescent="0.25">
      <c r="A88" s="1">
        <v>45713</v>
      </c>
      <c r="B88">
        <v>12</v>
      </c>
      <c r="E88">
        <f t="shared" si="1"/>
        <v>11.142857142857142</v>
      </c>
    </row>
    <row r="89" spans="1:5" x14ac:dyDescent="0.25">
      <c r="A89" s="1">
        <v>45714</v>
      </c>
      <c r="B89">
        <v>11</v>
      </c>
      <c r="E89">
        <f t="shared" si="1"/>
        <v>10.857142857142858</v>
      </c>
    </row>
    <row r="90" spans="1:5" x14ac:dyDescent="0.25">
      <c r="A90" s="1">
        <v>45715</v>
      </c>
      <c r="B90">
        <v>10</v>
      </c>
      <c r="E90">
        <f t="shared" si="1"/>
        <v>10.571428571428571</v>
      </c>
    </row>
    <row r="91" spans="1:5" x14ac:dyDescent="0.25">
      <c r="A91" s="1">
        <v>45716</v>
      </c>
      <c r="B91">
        <v>9</v>
      </c>
      <c r="E91">
        <f t="shared" si="1"/>
        <v>10.285714285714286</v>
      </c>
    </row>
    <row r="92" spans="1:5" x14ac:dyDescent="0.25">
      <c r="A92" s="1">
        <v>45717</v>
      </c>
      <c r="B92">
        <v>7</v>
      </c>
      <c r="E92">
        <f t="shared" si="1"/>
        <v>10</v>
      </c>
    </row>
    <row r="93" spans="1:5" x14ac:dyDescent="0.25">
      <c r="A93" s="1">
        <v>45718</v>
      </c>
      <c r="B93">
        <v>8</v>
      </c>
      <c r="E93">
        <f t="shared" si="1"/>
        <v>9.8571428571428577</v>
      </c>
    </row>
    <row r="94" spans="1:5" x14ac:dyDescent="0.25">
      <c r="A94" s="1">
        <v>45719</v>
      </c>
      <c r="B94">
        <v>10</v>
      </c>
      <c r="E94">
        <f t="shared" si="1"/>
        <v>9.5714285714285712</v>
      </c>
    </row>
    <row r="95" spans="1:5" x14ac:dyDescent="0.25">
      <c r="A95" s="1">
        <v>45720</v>
      </c>
      <c r="B95">
        <v>10</v>
      </c>
      <c r="E95">
        <f t="shared" si="1"/>
        <v>9.2857142857142865</v>
      </c>
    </row>
    <row r="96" spans="1:5" x14ac:dyDescent="0.25">
      <c r="A96" s="1">
        <v>45721</v>
      </c>
      <c r="B96">
        <v>10</v>
      </c>
      <c r="E96">
        <f t="shared" si="1"/>
        <v>9.1428571428571423</v>
      </c>
    </row>
    <row r="97" spans="1:5" x14ac:dyDescent="0.25">
      <c r="A97" s="1">
        <v>45722</v>
      </c>
      <c r="B97">
        <v>10</v>
      </c>
      <c r="E97">
        <f t="shared" si="1"/>
        <v>9.1428571428571423</v>
      </c>
    </row>
    <row r="98" spans="1:5" x14ac:dyDescent="0.25">
      <c r="A98" s="1">
        <v>45723</v>
      </c>
      <c r="B98">
        <v>9</v>
      </c>
      <c r="E98">
        <f t="shared" si="1"/>
        <v>9.1428571428571423</v>
      </c>
    </row>
    <row r="99" spans="1:5" x14ac:dyDescent="0.25">
      <c r="A99" s="1">
        <v>45724</v>
      </c>
      <c r="B99">
        <v>8</v>
      </c>
      <c r="E99">
        <f t="shared" si="1"/>
        <v>9.2857142857142865</v>
      </c>
    </row>
    <row r="100" spans="1:5" x14ac:dyDescent="0.25">
      <c r="A100" s="1">
        <v>45725</v>
      </c>
      <c r="B100">
        <v>8</v>
      </c>
      <c r="E100">
        <f t="shared" si="1"/>
        <v>9.2857142857142865</v>
      </c>
    </row>
    <row r="101" spans="1:5" x14ac:dyDescent="0.25">
      <c r="A101" s="1">
        <v>45726</v>
      </c>
      <c r="B101">
        <v>10</v>
      </c>
      <c r="E101">
        <f t="shared" si="1"/>
        <v>9.2857142857142865</v>
      </c>
    </row>
    <row r="102" spans="1:5" x14ac:dyDescent="0.25">
      <c r="A102" s="1">
        <v>45727</v>
      </c>
      <c r="B102">
        <v>10</v>
      </c>
      <c r="E102">
        <f t="shared" si="1"/>
        <v>9.2857142857142865</v>
      </c>
    </row>
    <row r="103" spans="1:5" x14ac:dyDescent="0.25">
      <c r="A103" s="1">
        <v>45728</v>
      </c>
      <c r="B103">
        <v>10</v>
      </c>
      <c r="E103">
        <f t="shared" si="1"/>
        <v>9.2857142857142865</v>
      </c>
    </row>
    <row r="104" spans="1:5" x14ac:dyDescent="0.25">
      <c r="A104" s="1">
        <v>45729</v>
      </c>
      <c r="B104">
        <v>10</v>
      </c>
      <c r="E104">
        <f t="shared" si="1"/>
        <v>9.2857142857142865</v>
      </c>
    </row>
    <row r="105" spans="1:5" x14ac:dyDescent="0.25">
      <c r="A105" s="1">
        <v>45730</v>
      </c>
      <c r="B105">
        <v>9</v>
      </c>
      <c r="E105">
        <f t="shared" si="1"/>
        <v>9.2857142857142865</v>
      </c>
    </row>
    <row r="106" spans="1:5" x14ac:dyDescent="0.25">
      <c r="A106" s="1">
        <v>45731</v>
      </c>
      <c r="B106">
        <v>7</v>
      </c>
      <c r="E106">
        <f t="shared" si="1"/>
        <v>9.1428571428571423</v>
      </c>
    </row>
    <row r="107" spans="1:5" x14ac:dyDescent="0.25">
      <c r="A107" s="1">
        <v>45732</v>
      </c>
      <c r="B107">
        <v>8</v>
      </c>
      <c r="E107">
        <f t="shared" si="1"/>
        <v>9.1428571428571423</v>
      </c>
    </row>
    <row r="108" spans="1:5" x14ac:dyDescent="0.25">
      <c r="A108" s="1">
        <v>45733</v>
      </c>
      <c r="B108">
        <v>10</v>
      </c>
      <c r="E108">
        <f t="shared" si="1"/>
        <v>9.1428571428571423</v>
      </c>
    </row>
    <row r="109" spans="1:5" x14ac:dyDescent="0.25">
      <c r="A109" s="1">
        <v>45734</v>
      </c>
      <c r="B109">
        <v>10</v>
      </c>
      <c r="E109">
        <f t="shared" si="1"/>
        <v>9.1428571428571423</v>
      </c>
    </row>
    <row r="110" spans="1:5" x14ac:dyDescent="0.25">
      <c r="A110" s="1">
        <v>45735</v>
      </c>
      <c r="B110">
        <v>10</v>
      </c>
      <c r="E110">
        <f t="shared" si="1"/>
        <v>9.1428571428571423</v>
      </c>
    </row>
    <row r="111" spans="1:5" x14ac:dyDescent="0.25">
      <c r="A111" s="1">
        <v>45736</v>
      </c>
      <c r="B111">
        <v>9</v>
      </c>
      <c r="E111">
        <f t="shared" si="1"/>
        <v>9</v>
      </c>
    </row>
    <row r="112" spans="1:5" x14ac:dyDescent="0.25">
      <c r="A112" s="1">
        <v>45737</v>
      </c>
      <c r="B112">
        <v>8</v>
      </c>
      <c r="E112">
        <f t="shared" si="1"/>
        <v>8.8571428571428577</v>
      </c>
    </row>
    <row r="113" spans="1:5" x14ac:dyDescent="0.25">
      <c r="A113" s="1">
        <v>45738</v>
      </c>
      <c r="B113">
        <v>7</v>
      </c>
      <c r="E113">
        <f t="shared" si="1"/>
        <v>8.8571428571428577</v>
      </c>
    </row>
    <row r="114" spans="1:5" x14ac:dyDescent="0.25">
      <c r="A114" s="1">
        <v>45739</v>
      </c>
      <c r="B114">
        <v>7</v>
      </c>
      <c r="E114">
        <f t="shared" si="1"/>
        <v>8.7142857142857135</v>
      </c>
    </row>
    <row r="115" spans="1:5" x14ac:dyDescent="0.25">
      <c r="A115" s="1">
        <v>45740</v>
      </c>
      <c r="B115">
        <v>9</v>
      </c>
      <c r="E115">
        <f t="shared" si="1"/>
        <v>8.5714285714285712</v>
      </c>
    </row>
    <row r="116" spans="1:5" x14ac:dyDescent="0.25">
      <c r="A116" s="1">
        <v>45741</v>
      </c>
      <c r="B116">
        <v>10</v>
      </c>
      <c r="E116">
        <f t="shared" si="1"/>
        <v>8.5714285714285712</v>
      </c>
    </row>
    <row r="117" spans="1:5" x14ac:dyDescent="0.25">
      <c r="A117" s="1">
        <v>45742</v>
      </c>
      <c r="B117">
        <v>10</v>
      </c>
      <c r="E117">
        <f t="shared" si="1"/>
        <v>8.5714285714285712</v>
      </c>
    </row>
    <row r="118" spans="1:5" x14ac:dyDescent="0.25">
      <c r="A118" s="1">
        <v>45743</v>
      </c>
      <c r="B118">
        <v>10</v>
      </c>
      <c r="E118">
        <f t="shared" si="1"/>
        <v>8.7142857142857135</v>
      </c>
    </row>
    <row r="119" spans="1:5" x14ac:dyDescent="0.25">
      <c r="A119" s="1">
        <v>45744</v>
      </c>
      <c r="B119">
        <v>9</v>
      </c>
      <c r="E119">
        <f t="shared" si="1"/>
        <v>8.8571428571428577</v>
      </c>
    </row>
    <row r="120" spans="1:5" x14ac:dyDescent="0.25">
      <c r="A120" s="1">
        <v>45745</v>
      </c>
      <c r="B120">
        <v>8</v>
      </c>
      <c r="E120">
        <f t="shared" si="1"/>
        <v>9</v>
      </c>
    </row>
    <row r="121" spans="1:5" x14ac:dyDescent="0.25">
      <c r="A121" s="1">
        <v>45746</v>
      </c>
      <c r="B121">
        <v>8</v>
      </c>
      <c r="E121">
        <f t="shared" si="1"/>
        <v>9.1428571428571423</v>
      </c>
    </row>
    <row r="122" spans="1:5" x14ac:dyDescent="0.25">
      <c r="A122" s="1">
        <v>45747</v>
      </c>
      <c r="B122">
        <v>9</v>
      </c>
      <c r="E122">
        <f t="shared" si="1"/>
        <v>9.1428571428571423</v>
      </c>
    </row>
    <row r="123" spans="1:5" x14ac:dyDescent="0.25">
      <c r="A123" s="1">
        <v>45748</v>
      </c>
      <c r="B123">
        <v>10</v>
      </c>
      <c r="E123">
        <f t="shared" si="1"/>
        <v>9.1428571428571423</v>
      </c>
    </row>
    <row r="124" spans="1:5" x14ac:dyDescent="0.25">
      <c r="A124" s="1">
        <v>45749</v>
      </c>
      <c r="B124">
        <v>10</v>
      </c>
      <c r="E124">
        <f t="shared" si="1"/>
        <v>9.1428571428571423</v>
      </c>
    </row>
    <row r="125" spans="1:5" x14ac:dyDescent="0.25">
      <c r="A125" s="1">
        <v>45750</v>
      </c>
      <c r="B125">
        <v>9</v>
      </c>
      <c r="E125">
        <f t="shared" si="1"/>
        <v>9</v>
      </c>
    </row>
    <row r="126" spans="1:5" x14ac:dyDescent="0.25">
      <c r="A126" s="1">
        <v>45751</v>
      </c>
      <c r="B126">
        <v>8</v>
      </c>
      <c r="E126">
        <f t="shared" si="1"/>
        <v>8.8571428571428577</v>
      </c>
    </row>
    <row r="127" spans="1:5" x14ac:dyDescent="0.25">
      <c r="A127" s="1">
        <v>45752</v>
      </c>
      <c r="B127">
        <v>7</v>
      </c>
      <c r="E127">
        <f t="shared" si="1"/>
        <v>8.7142857142857135</v>
      </c>
    </row>
    <row r="128" spans="1:5" x14ac:dyDescent="0.25">
      <c r="A128" s="1">
        <v>45753</v>
      </c>
      <c r="B128">
        <v>8</v>
      </c>
      <c r="E128">
        <f t="shared" si="1"/>
        <v>8.7142857142857135</v>
      </c>
    </row>
    <row r="129" spans="1:5" x14ac:dyDescent="0.25">
      <c r="A129" s="1">
        <v>45754</v>
      </c>
      <c r="B129">
        <v>9</v>
      </c>
      <c r="E129">
        <f t="shared" si="1"/>
        <v>8.7142857142857135</v>
      </c>
    </row>
    <row r="130" spans="1:5" x14ac:dyDescent="0.25">
      <c r="A130" s="1">
        <v>45755</v>
      </c>
      <c r="B130">
        <v>9</v>
      </c>
      <c r="E130">
        <f t="shared" si="1"/>
        <v>8.5714285714285712</v>
      </c>
    </row>
    <row r="131" spans="1:5" x14ac:dyDescent="0.25">
      <c r="A131" s="1">
        <v>45756</v>
      </c>
      <c r="B131">
        <v>10</v>
      </c>
      <c r="E131">
        <f t="shared" si="1"/>
        <v>8.5714285714285712</v>
      </c>
    </row>
    <row r="132" spans="1:5" x14ac:dyDescent="0.25">
      <c r="A132" s="1">
        <v>45757</v>
      </c>
      <c r="B132">
        <v>9</v>
      </c>
      <c r="E132">
        <f t="shared" si="1"/>
        <v>8.5714285714285712</v>
      </c>
    </row>
    <row r="133" spans="1:5" x14ac:dyDescent="0.25">
      <c r="A133" s="1">
        <v>45758</v>
      </c>
      <c r="B133">
        <v>8</v>
      </c>
      <c r="E133">
        <f t="shared" si="1"/>
        <v>8.5714285714285712</v>
      </c>
    </row>
    <row r="134" spans="1:5" x14ac:dyDescent="0.25">
      <c r="A134" s="1">
        <v>45759</v>
      </c>
      <c r="B134">
        <v>7</v>
      </c>
      <c r="E134">
        <f t="shared" si="1"/>
        <v>8.5714285714285712</v>
      </c>
    </row>
    <row r="135" spans="1:5" x14ac:dyDescent="0.25">
      <c r="A135" s="1">
        <v>45760</v>
      </c>
      <c r="B135">
        <v>7</v>
      </c>
      <c r="E135">
        <f t="shared" si="1"/>
        <v>8.4285714285714288</v>
      </c>
    </row>
    <row r="136" spans="1:5" x14ac:dyDescent="0.25">
      <c r="A136" s="1">
        <v>45761</v>
      </c>
      <c r="B136">
        <v>10</v>
      </c>
      <c r="E136">
        <f t="shared" si="1"/>
        <v>8.5714285714285712</v>
      </c>
    </row>
    <row r="137" spans="1:5" x14ac:dyDescent="0.25">
      <c r="A137" s="1">
        <v>45762</v>
      </c>
      <c r="B137">
        <v>9</v>
      </c>
      <c r="E137">
        <f t="shared" si="1"/>
        <v>8.5714285714285712</v>
      </c>
    </row>
    <row r="138" spans="1:5" x14ac:dyDescent="0.25">
      <c r="A138" s="1">
        <v>45763</v>
      </c>
      <c r="B138">
        <v>10</v>
      </c>
      <c r="E138">
        <f t="shared" si="1"/>
        <v>8.5714285714285712</v>
      </c>
    </row>
    <row r="139" spans="1:5" x14ac:dyDescent="0.25">
      <c r="A139" s="1">
        <v>45764</v>
      </c>
      <c r="B139">
        <v>9</v>
      </c>
      <c r="E139">
        <f t="shared" ref="E139:E202" si="2">AVERAGE(B133:B139)</f>
        <v>8.5714285714285712</v>
      </c>
    </row>
    <row r="140" spans="1:5" x14ac:dyDescent="0.25">
      <c r="A140" s="1">
        <v>45765</v>
      </c>
      <c r="B140">
        <v>8</v>
      </c>
      <c r="E140">
        <f t="shared" si="2"/>
        <v>8.5714285714285712</v>
      </c>
    </row>
    <row r="141" spans="1:5" x14ac:dyDescent="0.25">
      <c r="A141" s="1">
        <v>45766</v>
      </c>
      <c r="B141">
        <v>7</v>
      </c>
      <c r="E141">
        <f t="shared" si="2"/>
        <v>8.5714285714285712</v>
      </c>
    </row>
    <row r="142" spans="1:5" x14ac:dyDescent="0.25">
      <c r="A142" s="1">
        <v>45767</v>
      </c>
      <c r="B142">
        <v>7</v>
      </c>
      <c r="E142">
        <f t="shared" si="2"/>
        <v>8.5714285714285712</v>
      </c>
    </row>
    <row r="143" spans="1:5" x14ac:dyDescent="0.25">
      <c r="A143" s="1">
        <v>45768</v>
      </c>
      <c r="B143">
        <v>9</v>
      </c>
      <c r="E143">
        <f t="shared" si="2"/>
        <v>8.4285714285714288</v>
      </c>
    </row>
    <row r="144" spans="1:5" x14ac:dyDescent="0.25">
      <c r="A144" s="1">
        <v>45769</v>
      </c>
      <c r="B144">
        <v>10</v>
      </c>
      <c r="E144">
        <f t="shared" si="2"/>
        <v>8.5714285714285712</v>
      </c>
    </row>
    <row r="145" spans="1:5" x14ac:dyDescent="0.25">
      <c r="A145" s="1">
        <v>45770</v>
      </c>
      <c r="B145">
        <v>9</v>
      </c>
      <c r="E145">
        <f t="shared" si="2"/>
        <v>8.4285714285714288</v>
      </c>
    </row>
    <row r="146" spans="1:5" x14ac:dyDescent="0.25">
      <c r="A146" s="1">
        <v>45771</v>
      </c>
      <c r="B146">
        <v>9</v>
      </c>
      <c r="E146">
        <f t="shared" si="2"/>
        <v>8.4285714285714288</v>
      </c>
    </row>
    <row r="147" spans="1:5" x14ac:dyDescent="0.25">
      <c r="A147" s="1">
        <v>45772</v>
      </c>
      <c r="B147">
        <v>9</v>
      </c>
      <c r="E147">
        <f t="shared" si="2"/>
        <v>8.5714285714285712</v>
      </c>
    </row>
    <row r="148" spans="1:5" x14ac:dyDescent="0.25">
      <c r="A148" s="1">
        <v>45773</v>
      </c>
      <c r="B148">
        <v>7</v>
      </c>
      <c r="E148">
        <f t="shared" si="2"/>
        <v>8.5714285714285712</v>
      </c>
    </row>
    <row r="149" spans="1:5" x14ac:dyDescent="0.25">
      <c r="A149" s="1">
        <v>45774</v>
      </c>
      <c r="B149">
        <v>8</v>
      </c>
      <c r="E149">
        <f t="shared" si="2"/>
        <v>8.7142857142857135</v>
      </c>
    </row>
    <row r="150" spans="1:5" x14ac:dyDescent="0.25">
      <c r="A150" s="1">
        <v>45775</v>
      </c>
      <c r="B150">
        <v>9</v>
      </c>
      <c r="E150">
        <f t="shared" si="2"/>
        <v>8.7142857142857135</v>
      </c>
    </row>
    <row r="151" spans="1:5" x14ac:dyDescent="0.25">
      <c r="A151" s="1">
        <v>45776</v>
      </c>
      <c r="B151">
        <v>9</v>
      </c>
      <c r="E151">
        <f t="shared" si="2"/>
        <v>8.5714285714285712</v>
      </c>
    </row>
    <row r="152" spans="1:5" x14ac:dyDescent="0.25">
      <c r="A152" s="1">
        <v>45777</v>
      </c>
      <c r="B152">
        <v>8</v>
      </c>
      <c r="E152">
        <f t="shared" si="2"/>
        <v>8.4285714285714288</v>
      </c>
    </row>
    <row r="153" spans="1:5" x14ac:dyDescent="0.25">
      <c r="A153" s="1">
        <v>45778</v>
      </c>
      <c r="B153">
        <v>7</v>
      </c>
      <c r="E153">
        <f t="shared" si="2"/>
        <v>8.1428571428571423</v>
      </c>
    </row>
    <row r="154" spans="1:5" x14ac:dyDescent="0.25">
      <c r="A154" s="1">
        <v>45779</v>
      </c>
      <c r="B154">
        <v>7</v>
      </c>
      <c r="E154">
        <f t="shared" si="2"/>
        <v>7.8571428571428568</v>
      </c>
    </row>
    <row r="155" spans="1:5" x14ac:dyDescent="0.25">
      <c r="A155" s="1">
        <v>45780</v>
      </c>
      <c r="B155">
        <v>7</v>
      </c>
      <c r="E155">
        <f t="shared" si="2"/>
        <v>7.8571428571428568</v>
      </c>
    </row>
    <row r="156" spans="1:5" x14ac:dyDescent="0.25">
      <c r="A156" s="1">
        <v>45781</v>
      </c>
      <c r="B156">
        <v>7</v>
      </c>
      <c r="E156">
        <f t="shared" si="2"/>
        <v>7.7142857142857144</v>
      </c>
    </row>
    <row r="157" spans="1:5" x14ac:dyDescent="0.25">
      <c r="A157" s="1">
        <v>45782</v>
      </c>
      <c r="B157">
        <v>9</v>
      </c>
      <c r="E157">
        <f t="shared" si="2"/>
        <v>7.7142857142857144</v>
      </c>
    </row>
    <row r="158" spans="1:5" x14ac:dyDescent="0.25">
      <c r="A158" s="1">
        <v>45783</v>
      </c>
      <c r="B158">
        <v>9</v>
      </c>
      <c r="E158">
        <f t="shared" si="2"/>
        <v>7.7142857142857144</v>
      </c>
    </row>
    <row r="159" spans="1:5" x14ac:dyDescent="0.25">
      <c r="A159" s="1">
        <v>45784</v>
      </c>
      <c r="B159">
        <v>9</v>
      </c>
      <c r="E159">
        <f t="shared" si="2"/>
        <v>7.8571428571428568</v>
      </c>
    </row>
    <row r="160" spans="1:5" x14ac:dyDescent="0.25">
      <c r="A160" s="1">
        <v>45785</v>
      </c>
      <c r="B160">
        <v>9</v>
      </c>
      <c r="E160">
        <f t="shared" si="2"/>
        <v>8.1428571428571423</v>
      </c>
    </row>
    <row r="161" spans="1:5" x14ac:dyDescent="0.25">
      <c r="A161" s="1">
        <v>45786</v>
      </c>
      <c r="B161">
        <v>7</v>
      </c>
      <c r="E161">
        <f t="shared" si="2"/>
        <v>8.1428571428571423</v>
      </c>
    </row>
    <row r="162" spans="1:5" x14ac:dyDescent="0.25">
      <c r="A162" s="1">
        <v>45787</v>
      </c>
      <c r="B162">
        <v>6</v>
      </c>
      <c r="E162">
        <f t="shared" si="2"/>
        <v>8</v>
      </c>
    </row>
    <row r="163" spans="1:5" x14ac:dyDescent="0.25">
      <c r="A163" s="1">
        <v>45788</v>
      </c>
      <c r="B163">
        <v>7</v>
      </c>
      <c r="E163">
        <f t="shared" si="2"/>
        <v>8</v>
      </c>
    </row>
    <row r="164" spans="1:5" x14ac:dyDescent="0.25">
      <c r="A164" s="1">
        <v>45789</v>
      </c>
      <c r="B164">
        <v>9</v>
      </c>
      <c r="E164">
        <f t="shared" si="2"/>
        <v>8</v>
      </c>
    </row>
    <row r="165" spans="1:5" x14ac:dyDescent="0.25">
      <c r="A165" s="1">
        <v>45790</v>
      </c>
      <c r="B165">
        <v>9</v>
      </c>
      <c r="E165">
        <f t="shared" si="2"/>
        <v>8</v>
      </c>
    </row>
    <row r="166" spans="1:5" x14ac:dyDescent="0.25">
      <c r="A166" s="1">
        <v>45791</v>
      </c>
      <c r="B166">
        <v>9</v>
      </c>
      <c r="E166">
        <f t="shared" si="2"/>
        <v>8</v>
      </c>
    </row>
    <row r="167" spans="1:5" x14ac:dyDescent="0.25">
      <c r="A167" s="1">
        <v>45792</v>
      </c>
      <c r="B167">
        <v>8</v>
      </c>
      <c r="E167">
        <f t="shared" si="2"/>
        <v>7.8571428571428568</v>
      </c>
    </row>
    <row r="168" spans="1:5" x14ac:dyDescent="0.25">
      <c r="A168" s="1">
        <v>45793</v>
      </c>
      <c r="B168">
        <v>8</v>
      </c>
      <c r="E168">
        <f t="shared" si="2"/>
        <v>8</v>
      </c>
    </row>
    <row r="169" spans="1:5" x14ac:dyDescent="0.25">
      <c r="A169" s="1">
        <v>45794</v>
      </c>
      <c r="B169">
        <v>7</v>
      </c>
      <c r="E169">
        <f t="shared" si="2"/>
        <v>8.1428571428571423</v>
      </c>
    </row>
    <row r="170" spans="1:5" x14ac:dyDescent="0.25">
      <c r="A170" s="1">
        <v>45795</v>
      </c>
      <c r="B170">
        <v>7</v>
      </c>
      <c r="E170">
        <f t="shared" si="2"/>
        <v>8.1428571428571423</v>
      </c>
    </row>
    <row r="171" spans="1:5" x14ac:dyDescent="0.25">
      <c r="A171" s="1">
        <v>45796</v>
      </c>
      <c r="B171">
        <v>9</v>
      </c>
      <c r="E171">
        <f t="shared" si="2"/>
        <v>8.1428571428571423</v>
      </c>
    </row>
    <row r="172" spans="1:5" x14ac:dyDescent="0.25">
      <c r="A172" s="1">
        <v>45797</v>
      </c>
      <c r="B172">
        <v>9</v>
      </c>
      <c r="E172">
        <f t="shared" si="2"/>
        <v>8.1428571428571423</v>
      </c>
    </row>
    <row r="173" spans="1:5" x14ac:dyDescent="0.25">
      <c r="A173" s="1">
        <v>45798</v>
      </c>
      <c r="B173">
        <v>9</v>
      </c>
      <c r="E173">
        <f t="shared" si="2"/>
        <v>8.1428571428571423</v>
      </c>
    </row>
    <row r="174" spans="1:5" x14ac:dyDescent="0.25">
      <c r="A174" s="1">
        <v>45799</v>
      </c>
      <c r="B174">
        <v>8</v>
      </c>
      <c r="E174">
        <f t="shared" si="2"/>
        <v>8.1428571428571423</v>
      </c>
    </row>
    <row r="175" spans="1:5" x14ac:dyDescent="0.25">
      <c r="A175" s="1">
        <v>45800</v>
      </c>
      <c r="B175">
        <v>8</v>
      </c>
      <c r="E175">
        <f t="shared" si="2"/>
        <v>8.1428571428571423</v>
      </c>
    </row>
    <row r="176" spans="1:5" x14ac:dyDescent="0.25">
      <c r="A176" s="1">
        <v>45801</v>
      </c>
      <c r="B176">
        <v>7</v>
      </c>
      <c r="E176">
        <f t="shared" si="2"/>
        <v>8.1428571428571423</v>
      </c>
    </row>
    <row r="177" spans="1:5" x14ac:dyDescent="0.25">
      <c r="A177" s="1">
        <v>45802</v>
      </c>
      <c r="B177">
        <v>7</v>
      </c>
      <c r="E177">
        <f t="shared" si="2"/>
        <v>8.1428571428571423</v>
      </c>
    </row>
    <row r="178" spans="1:5" x14ac:dyDescent="0.25">
      <c r="A178" s="1">
        <v>45803</v>
      </c>
      <c r="B178">
        <v>8</v>
      </c>
      <c r="E178">
        <f t="shared" si="2"/>
        <v>8</v>
      </c>
    </row>
    <row r="179" spans="1:5" x14ac:dyDescent="0.25">
      <c r="A179" s="1">
        <v>45804</v>
      </c>
      <c r="B179">
        <v>8</v>
      </c>
      <c r="E179">
        <f t="shared" si="2"/>
        <v>7.8571428571428568</v>
      </c>
    </row>
    <row r="180" spans="1:5" x14ac:dyDescent="0.25">
      <c r="A180" s="1">
        <v>45805</v>
      </c>
      <c r="B180">
        <v>8</v>
      </c>
      <c r="E180">
        <f t="shared" si="2"/>
        <v>7.7142857142857144</v>
      </c>
    </row>
    <row r="181" spans="1:5" x14ac:dyDescent="0.25">
      <c r="A181" s="1">
        <v>45806</v>
      </c>
      <c r="B181">
        <v>8</v>
      </c>
      <c r="E181">
        <f t="shared" si="2"/>
        <v>7.7142857142857144</v>
      </c>
    </row>
    <row r="182" spans="1:5" x14ac:dyDescent="0.25">
      <c r="A182" s="1">
        <v>45807</v>
      </c>
      <c r="B182">
        <v>8</v>
      </c>
      <c r="E182">
        <f t="shared" si="2"/>
        <v>7.7142857142857144</v>
      </c>
    </row>
    <row r="183" spans="1:5" x14ac:dyDescent="0.25">
      <c r="A183" s="1">
        <v>45808</v>
      </c>
      <c r="B183">
        <v>6</v>
      </c>
      <c r="E183">
        <f t="shared" si="2"/>
        <v>7.5714285714285712</v>
      </c>
    </row>
    <row r="184" spans="1:5" x14ac:dyDescent="0.25">
      <c r="A184" s="1">
        <v>45809</v>
      </c>
      <c r="B184">
        <v>6</v>
      </c>
      <c r="E184">
        <f t="shared" si="2"/>
        <v>7.4285714285714288</v>
      </c>
    </row>
    <row r="185" spans="1:5" x14ac:dyDescent="0.25">
      <c r="A185" s="1">
        <v>45810</v>
      </c>
      <c r="B185">
        <v>8</v>
      </c>
      <c r="E185">
        <f t="shared" si="2"/>
        <v>7.4285714285714288</v>
      </c>
    </row>
    <row r="186" spans="1:5" x14ac:dyDescent="0.25">
      <c r="A186" s="1">
        <v>45811</v>
      </c>
      <c r="B186">
        <v>8</v>
      </c>
      <c r="E186">
        <f t="shared" si="2"/>
        <v>7.4285714285714288</v>
      </c>
    </row>
    <row r="187" spans="1:5" x14ac:dyDescent="0.25">
      <c r="A187" s="1">
        <v>45812</v>
      </c>
      <c r="B187">
        <v>8</v>
      </c>
      <c r="E187">
        <f t="shared" si="2"/>
        <v>7.4285714285714288</v>
      </c>
    </row>
    <row r="188" spans="1:5" x14ac:dyDescent="0.25">
      <c r="A188" s="1">
        <v>45813</v>
      </c>
      <c r="B188">
        <v>7</v>
      </c>
      <c r="E188">
        <f t="shared" si="2"/>
        <v>7.2857142857142856</v>
      </c>
    </row>
    <row r="189" spans="1:5" x14ac:dyDescent="0.25">
      <c r="A189" s="1">
        <v>45814</v>
      </c>
      <c r="B189">
        <v>6</v>
      </c>
      <c r="E189">
        <f t="shared" si="2"/>
        <v>7</v>
      </c>
    </row>
    <row r="190" spans="1:5" x14ac:dyDescent="0.25">
      <c r="A190" s="1">
        <v>45815</v>
      </c>
      <c r="B190">
        <v>6</v>
      </c>
      <c r="E190">
        <f t="shared" si="2"/>
        <v>7</v>
      </c>
    </row>
    <row r="191" spans="1:5" x14ac:dyDescent="0.25">
      <c r="A191" s="1">
        <v>45816</v>
      </c>
      <c r="B191">
        <v>6</v>
      </c>
      <c r="E191">
        <f t="shared" si="2"/>
        <v>7</v>
      </c>
    </row>
    <row r="192" spans="1:5" x14ac:dyDescent="0.25">
      <c r="A192" s="1">
        <v>45817</v>
      </c>
      <c r="B192">
        <v>8</v>
      </c>
      <c r="E192">
        <f t="shared" si="2"/>
        <v>7</v>
      </c>
    </row>
    <row r="193" spans="1:5" x14ac:dyDescent="0.25">
      <c r="A193" s="1">
        <v>45818</v>
      </c>
      <c r="B193">
        <v>15</v>
      </c>
      <c r="E193">
        <f t="shared" si="2"/>
        <v>8</v>
      </c>
    </row>
    <row r="194" spans="1:5" x14ac:dyDescent="0.25">
      <c r="A194" s="1">
        <v>45819</v>
      </c>
      <c r="B194">
        <v>8</v>
      </c>
      <c r="E194">
        <f t="shared" si="2"/>
        <v>8</v>
      </c>
    </row>
    <row r="195" spans="1:5" x14ac:dyDescent="0.25">
      <c r="A195" s="1">
        <v>45820</v>
      </c>
      <c r="B195">
        <v>8</v>
      </c>
      <c r="E195">
        <f t="shared" si="2"/>
        <v>8.1428571428571423</v>
      </c>
    </row>
    <row r="196" spans="1:5" x14ac:dyDescent="0.25">
      <c r="A196" s="1">
        <v>45821</v>
      </c>
      <c r="B196">
        <v>7</v>
      </c>
      <c r="E196">
        <f t="shared" si="2"/>
        <v>8.2857142857142865</v>
      </c>
    </row>
    <row r="197" spans="1:5" x14ac:dyDescent="0.25">
      <c r="A197" s="1">
        <v>45822</v>
      </c>
      <c r="B197">
        <v>5</v>
      </c>
      <c r="E197">
        <f t="shared" si="2"/>
        <v>8.1428571428571423</v>
      </c>
    </row>
    <row r="198" spans="1:5" x14ac:dyDescent="0.25">
      <c r="A198" s="1">
        <v>45823</v>
      </c>
      <c r="B198">
        <v>5</v>
      </c>
      <c r="E198">
        <f t="shared" si="2"/>
        <v>8</v>
      </c>
    </row>
    <row r="199" spans="1:5" x14ac:dyDescent="0.25">
      <c r="A199" s="1">
        <v>45824</v>
      </c>
      <c r="B199">
        <v>7</v>
      </c>
      <c r="E199">
        <f t="shared" si="2"/>
        <v>7.8571428571428568</v>
      </c>
    </row>
    <row r="200" spans="1:5" x14ac:dyDescent="0.25">
      <c r="A200" s="1">
        <v>45825</v>
      </c>
      <c r="B200">
        <v>7</v>
      </c>
      <c r="E200">
        <f t="shared" si="2"/>
        <v>6.7142857142857144</v>
      </c>
    </row>
    <row r="201" spans="1:5" x14ac:dyDescent="0.25">
      <c r="A201" s="1">
        <v>45826</v>
      </c>
      <c r="B201">
        <v>7</v>
      </c>
      <c r="E201">
        <f t="shared" si="2"/>
        <v>6.5714285714285712</v>
      </c>
    </row>
    <row r="202" spans="1:5" x14ac:dyDescent="0.25">
      <c r="A202" s="1">
        <v>45827</v>
      </c>
      <c r="B202">
        <v>7</v>
      </c>
      <c r="E202">
        <f t="shared" si="2"/>
        <v>6.4285714285714288</v>
      </c>
    </row>
    <row r="203" spans="1:5" x14ac:dyDescent="0.25">
      <c r="A203" s="1">
        <v>45828</v>
      </c>
      <c r="B203">
        <v>6</v>
      </c>
      <c r="E203">
        <f t="shared" ref="E203:E266" si="3">AVERAGE(B197:B203)</f>
        <v>6.2857142857142856</v>
      </c>
    </row>
    <row r="204" spans="1:5" x14ac:dyDescent="0.25">
      <c r="A204" s="1">
        <v>45829</v>
      </c>
      <c r="B204">
        <v>5</v>
      </c>
      <c r="E204">
        <f t="shared" si="3"/>
        <v>6.2857142857142856</v>
      </c>
    </row>
    <row r="205" spans="1:5" x14ac:dyDescent="0.25">
      <c r="A205" s="1">
        <v>45830</v>
      </c>
      <c r="B205">
        <v>5</v>
      </c>
      <c r="E205">
        <f t="shared" si="3"/>
        <v>6.2857142857142856</v>
      </c>
    </row>
    <row r="206" spans="1:5" x14ac:dyDescent="0.25">
      <c r="A206" s="1">
        <v>45831</v>
      </c>
      <c r="B206">
        <v>6</v>
      </c>
      <c r="E206">
        <f t="shared" si="3"/>
        <v>6.1428571428571432</v>
      </c>
    </row>
    <row r="207" spans="1:5" x14ac:dyDescent="0.25">
      <c r="A207" s="1">
        <v>45832</v>
      </c>
      <c r="B207">
        <v>6</v>
      </c>
      <c r="E207">
        <f t="shared" si="3"/>
        <v>6</v>
      </c>
    </row>
    <row r="208" spans="1:5" x14ac:dyDescent="0.25">
      <c r="A208" s="1">
        <v>45833</v>
      </c>
      <c r="B208">
        <v>7</v>
      </c>
      <c r="E208">
        <f t="shared" si="3"/>
        <v>6</v>
      </c>
    </row>
    <row r="209" spans="1:5" x14ac:dyDescent="0.25">
      <c r="A209" s="1">
        <v>45834</v>
      </c>
      <c r="B209">
        <v>6</v>
      </c>
      <c r="E209">
        <f t="shared" si="3"/>
        <v>5.8571428571428568</v>
      </c>
    </row>
    <row r="210" spans="1:5" x14ac:dyDescent="0.25">
      <c r="A210" s="1">
        <v>45835</v>
      </c>
      <c r="B210">
        <v>6</v>
      </c>
      <c r="E210">
        <f t="shared" si="3"/>
        <v>5.8571428571428568</v>
      </c>
    </row>
    <row r="211" spans="1:5" x14ac:dyDescent="0.25">
      <c r="A211" s="1">
        <v>45836</v>
      </c>
      <c r="B211">
        <f>58*(1/(73/6))</f>
        <v>4.7671232876712333</v>
      </c>
      <c r="E211">
        <f t="shared" si="3"/>
        <v>5.8238747553816044</v>
      </c>
    </row>
    <row r="212" spans="1:5" x14ac:dyDescent="0.25">
      <c r="A212" s="1">
        <v>45837</v>
      </c>
      <c r="B212">
        <f>59*(1/(73/6))</f>
        <v>4.8493150684931514</v>
      </c>
      <c r="E212">
        <f t="shared" si="3"/>
        <v>5.8023483365949113</v>
      </c>
    </row>
    <row r="213" spans="1:5" x14ac:dyDescent="0.25">
      <c r="A213" s="1">
        <v>45838</v>
      </c>
      <c r="B213">
        <f>78*(1/(73/6))</f>
        <v>6.4109589041095898</v>
      </c>
      <c r="E213">
        <f t="shared" si="3"/>
        <v>5.8610567514677099</v>
      </c>
    </row>
    <row r="214" spans="1:5" x14ac:dyDescent="0.25">
      <c r="A214" s="1">
        <v>45839</v>
      </c>
      <c r="B214">
        <f>74*(1/(73/6))</f>
        <v>6.0821917808219181</v>
      </c>
      <c r="E214">
        <f t="shared" si="3"/>
        <v>5.8727984344422692</v>
      </c>
    </row>
    <row r="215" spans="1:5" x14ac:dyDescent="0.25">
      <c r="A215" s="1">
        <v>45840</v>
      </c>
      <c r="B215">
        <f>77*(1/(73/6))</f>
        <v>6.3287671232876717</v>
      </c>
      <c r="E215">
        <f t="shared" si="3"/>
        <v>5.7769080234833652</v>
      </c>
    </row>
    <row r="216" spans="1:5" x14ac:dyDescent="0.25">
      <c r="A216" s="1">
        <v>45841</v>
      </c>
      <c r="B216">
        <f>74*(1/(73/6))</f>
        <v>6.0821917808219181</v>
      </c>
      <c r="E216">
        <f t="shared" si="3"/>
        <v>5.7886497064579254</v>
      </c>
    </row>
    <row r="217" spans="1:5" x14ac:dyDescent="0.25">
      <c r="A217" s="1">
        <v>45842</v>
      </c>
      <c r="B217">
        <f>68*(1/(73/6))</f>
        <v>5.589041095890412</v>
      </c>
      <c r="E217">
        <f t="shared" si="3"/>
        <v>5.7299412915851269</v>
      </c>
    </row>
    <row r="218" spans="1:5" x14ac:dyDescent="0.25">
      <c r="A218" s="1">
        <v>45843</v>
      </c>
      <c r="B218">
        <f>52*(1/(73/6))</f>
        <v>4.2739726027397262</v>
      </c>
      <c r="E218">
        <f t="shared" si="3"/>
        <v>5.6594911937377699</v>
      </c>
    </row>
    <row r="219" spans="1:5" x14ac:dyDescent="0.25">
      <c r="A219" s="1">
        <v>45844</v>
      </c>
      <c r="B219">
        <f>54*(1/(73/6))</f>
        <v>4.4383561643835625</v>
      </c>
      <c r="E219">
        <f t="shared" si="3"/>
        <v>5.6007827788649722</v>
      </c>
    </row>
    <row r="220" spans="1:5" x14ac:dyDescent="0.25">
      <c r="A220" s="1">
        <v>45845</v>
      </c>
      <c r="B220">
        <f>72*(1/(73/6))</f>
        <v>5.9178082191780828</v>
      </c>
      <c r="E220">
        <f t="shared" si="3"/>
        <v>5.5303326810176126</v>
      </c>
    </row>
    <row r="221" spans="1:5" x14ac:dyDescent="0.25">
      <c r="A221" s="1">
        <v>45846</v>
      </c>
      <c r="B221">
        <f>73*(1/(73/6))</f>
        <v>6.0000000000000009</v>
      </c>
      <c r="E221">
        <f t="shared" si="3"/>
        <v>5.5185909980430532</v>
      </c>
    </row>
    <row r="222" spans="1:5" x14ac:dyDescent="0.25">
      <c r="A222" s="1">
        <v>45847</v>
      </c>
      <c r="B222">
        <f>69*(1/(73/6))</f>
        <v>5.6712328767123292</v>
      </c>
      <c r="E222">
        <f t="shared" si="3"/>
        <v>5.4246575342465766</v>
      </c>
    </row>
    <row r="223" spans="1:5" x14ac:dyDescent="0.25">
      <c r="A223" s="1">
        <v>45848</v>
      </c>
      <c r="B223">
        <f>69*(1/(73/6))</f>
        <v>5.6712328767123292</v>
      </c>
      <c r="E223">
        <f t="shared" si="3"/>
        <v>5.3659491193737781</v>
      </c>
    </row>
    <row r="224" spans="1:5" x14ac:dyDescent="0.25">
      <c r="A224" s="1">
        <v>45849</v>
      </c>
      <c r="B224">
        <f>67*(1/(73/6))</f>
        <v>5.5068493150684938</v>
      </c>
      <c r="E224">
        <f t="shared" si="3"/>
        <v>5.3542074363992187</v>
      </c>
    </row>
    <row r="225" spans="1:5" x14ac:dyDescent="0.25">
      <c r="A225" s="1">
        <v>45850</v>
      </c>
      <c r="B225">
        <f>52*(1/(73/6))</f>
        <v>4.2739726027397262</v>
      </c>
      <c r="E225">
        <f t="shared" si="3"/>
        <v>5.3542074363992169</v>
      </c>
    </row>
    <row r="226" spans="1:5" x14ac:dyDescent="0.25">
      <c r="A226" s="1">
        <v>45851</v>
      </c>
      <c r="B226">
        <f>52*(1/(73/6))</f>
        <v>4.2739726027397262</v>
      </c>
      <c r="E226">
        <f t="shared" si="3"/>
        <v>5.3307240704500982</v>
      </c>
    </row>
    <row r="227" spans="1:5" x14ac:dyDescent="0.25">
      <c r="A227" s="1">
        <v>45852</v>
      </c>
      <c r="B227">
        <f>64*(1/(73/6))</f>
        <v>5.2602739726027403</v>
      </c>
      <c r="E227">
        <f t="shared" si="3"/>
        <v>5.2367906066536207</v>
      </c>
    </row>
    <row r="228" spans="1:5" x14ac:dyDescent="0.25">
      <c r="A228" s="1">
        <v>45853</v>
      </c>
      <c r="B228">
        <f>70*(1/(73/6))</f>
        <v>5.7534246575342474</v>
      </c>
      <c r="E228">
        <f t="shared" si="3"/>
        <v>5.2015655577299418</v>
      </c>
    </row>
    <row r="229" spans="1:5" x14ac:dyDescent="0.25">
      <c r="A229" s="1">
        <v>45854</v>
      </c>
      <c r="B229">
        <f>72*(1/(73/6))</f>
        <v>5.9178082191780828</v>
      </c>
      <c r="E229">
        <f t="shared" si="3"/>
        <v>5.2367906066536207</v>
      </c>
    </row>
    <row r="230" spans="1:5" x14ac:dyDescent="0.25">
      <c r="A230" s="1">
        <v>45855</v>
      </c>
      <c r="B230">
        <f>66*(1/(73/6))</f>
        <v>5.4246575342465757</v>
      </c>
      <c r="E230">
        <f t="shared" si="3"/>
        <v>5.2015655577299418</v>
      </c>
    </row>
    <row r="231" spans="1:5" x14ac:dyDescent="0.25">
      <c r="A231" s="1">
        <v>45856</v>
      </c>
      <c r="B231">
        <f>62*(1/(73/6))</f>
        <v>5.0958904109589049</v>
      </c>
      <c r="E231">
        <f t="shared" si="3"/>
        <v>5.1428571428571432</v>
      </c>
    </row>
    <row r="232" spans="1:5" x14ac:dyDescent="0.25">
      <c r="A232" s="1">
        <v>45857</v>
      </c>
      <c r="B232">
        <f>52*(1/(73/6))</f>
        <v>4.2739726027397262</v>
      </c>
      <c r="E232">
        <f t="shared" si="3"/>
        <v>5.1428571428571441</v>
      </c>
    </row>
    <row r="233" spans="1:5" x14ac:dyDescent="0.25">
      <c r="A233" s="1">
        <v>45858</v>
      </c>
      <c r="B233">
        <f>51*(1/(73/6))</f>
        <v>4.191780821917809</v>
      </c>
      <c r="E233">
        <f t="shared" si="3"/>
        <v>5.1311154598825839</v>
      </c>
    </row>
    <row r="234" spans="1:5" x14ac:dyDescent="0.25">
      <c r="A234" s="1">
        <v>45859</v>
      </c>
      <c r="B234">
        <f>68*(1/(73/6))</f>
        <v>5.589041095890412</v>
      </c>
      <c r="E234">
        <f t="shared" si="3"/>
        <v>5.1780821917808231</v>
      </c>
    </row>
    <row r="235" spans="1:5" x14ac:dyDescent="0.25">
      <c r="A235" s="1">
        <v>45860</v>
      </c>
      <c r="B235">
        <f>67*(1/(73/6))</f>
        <v>5.5068493150684938</v>
      </c>
      <c r="E235">
        <f t="shared" si="3"/>
        <v>5.1428571428571441</v>
      </c>
    </row>
    <row r="236" spans="1:5" x14ac:dyDescent="0.25">
      <c r="A236" s="1">
        <v>45861</v>
      </c>
      <c r="B236">
        <f>64*(1/(73/6))</f>
        <v>5.2602739726027403</v>
      </c>
      <c r="E236">
        <f t="shared" si="3"/>
        <v>5.0489236790606657</v>
      </c>
    </row>
    <row r="237" spans="1:5" x14ac:dyDescent="0.25">
      <c r="A237" s="1">
        <v>45862</v>
      </c>
      <c r="B237">
        <f>65*(1/(73/6))</f>
        <v>5.3424657534246585</v>
      </c>
      <c r="E237">
        <f t="shared" si="3"/>
        <v>5.0371819960861064</v>
      </c>
    </row>
    <row r="238" spans="1:5" x14ac:dyDescent="0.25">
      <c r="A238" s="1">
        <v>45863</v>
      </c>
      <c r="B238">
        <f>62*(1/(73/6))</f>
        <v>5.0958904109589049</v>
      </c>
      <c r="E238">
        <f t="shared" si="3"/>
        <v>5.0371819960861064</v>
      </c>
    </row>
    <row r="239" spans="1:5" x14ac:dyDescent="0.25">
      <c r="A239" s="1">
        <v>45864</v>
      </c>
      <c r="B239">
        <f>50*(1/(73/6))</f>
        <v>4.1095890410958908</v>
      </c>
      <c r="E239">
        <f t="shared" si="3"/>
        <v>5.0136986301369868</v>
      </c>
    </row>
    <row r="240" spans="1:5" x14ac:dyDescent="0.25">
      <c r="A240" s="1">
        <v>45865</v>
      </c>
      <c r="B240">
        <f>49*(1/(73/6))</f>
        <v>4.0273972602739727</v>
      </c>
      <c r="E240">
        <f t="shared" si="3"/>
        <v>4.9902152641878672</v>
      </c>
    </row>
    <row r="241" spans="1:5" x14ac:dyDescent="0.25">
      <c r="A241" s="1">
        <v>45866</v>
      </c>
      <c r="B241">
        <f>63*(1/(73/6))</f>
        <v>5.1780821917808222</v>
      </c>
      <c r="E241">
        <f t="shared" si="3"/>
        <v>4.9315068493150696</v>
      </c>
    </row>
    <row r="242" spans="1:5" x14ac:dyDescent="0.25">
      <c r="A242" s="1">
        <v>45867</v>
      </c>
      <c r="B242">
        <f>67*(1/(73/6))</f>
        <v>5.5068493150684938</v>
      </c>
      <c r="E242">
        <f t="shared" si="3"/>
        <v>4.9315068493150687</v>
      </c>
    </row>
    <row r="243" spans="1:5" x14ac:dyDescent="0.25">
      <c r="A243" s="1">
        <v>45868</v>
      </c>
      <c r="B243">
        <f>70*(1/(73/6))</f>
        <v>5.7534246575342474</v>
      </c>
      <c r="E243">
        <f t="shared" si="3"/>
        <v>5.0019569471624266</v>
      </c>
    </row>
    <row r="244" spans="1:5" x14ac:dyDescent="0.25">
      <c r="A244" s="1">
        <v>45869</v>
      </c>
      <c r="B244">
        <f>64*(1/(73/6))</f>
        <v>5.2602739726027403</v>
      </c>
      <c r="E244">
        <f t="shared" si="3"/>
        <v>4.9902152641878672</v>
      </c>
    </row>
    <row r="245" spans="1:5" x14ac:dyDescent="0.25">
      <c r="A245" s="1">
        <v>45870</v>
      </c>
      <c r="B245">
        <f>62*(1/(73/6))</f>
        <v>5.0958904109589049</v>
      </c>
      <c r="E245">
        <f t="shared" si="3"/>
        <v>4.9902152641878672</v>
      </c>
    </row>
    <row r="246" spans="1:5" x14ac:dyDescent="0.25">
      <c r="A246" s="1">
        <v>45871</v>
      </c>
      <c r="B246">
        <f>50*(1/(73/6))</f>
        <v>4.1095890410958908</v>
      </c>
      <c r="E246">
        <f t="shared" si="3"/>
        <v>4.9902152641878672</v>
      </c>
    </row>
    <row r="247" spans="1:5" x14ac:dyDescent="0.25">
      <c r="A247" s="1">
        <v>45872</v>
      </c>
      <c r="B247">
        <f>51*(1/(73/6))</f>
        <v>4.191780821917809</v>
      </c>
      <c r="E247">
        <f t="shared" si="3"/>
        <v>5.0136986301369868</v>
      </c>
    </row>
    <row r="248" spans="1:5" x14ac:dyDescent="0.25">
      <c r="A248" s="1">
        <v>45873</v>
      </c>
      <c r="B248">
        <f>69*(1/(73/6))</f>
        <v>5.6712328767123292</v>
      </c>
      <c r="E248">
        <f t="shared" si="3"/>
        <v>5.0841487279843447</v>
      </c>
    </row>
    <row r="249" spans="1:5" x14ac:dyDescent="0.25">
      <c r="A249" s="1">
        <v>45874</v>
      </c>
      <c r="B249">
        <f>66*(1/(73/6))</f>
        <v>5.4246575342465757</v>
      </c>
      <c r="E249">
        <f t="shared" si="3"/>
        <v>5.0724070450097853</v>
      </c>
    </row>
    <row r="250" spans="1:5" x14ac:dyDescent="0.25">
      <c r="A250" s="1">
        <v>45875</v>
      </c>
      <c r="B250">
        <f>70*(1/(73/6))</f>
        <v>5.7534246575342474</v>
      </c>
      <c r="E250">
        <f t="shared" si="3"/>
        <v>5.0724070450097853</v>
      </c>
    </row>
    <row r="251" spans="1:5" x14ac:dyDescent="0.25">
      <c r="A251" s="1">
        <v>45876</v>
      </c>
      <c r="B251">
        <f>68*(1/(73/6))</f>
        <v>5.589041095890412</v>
      </c>
      <c r="E251">
        <f t="shared" si="3"/>
        <v>5.1193737769080245</v>
      </c>
    </row>
    <row r="252" spans="1:5" x14ac:dyDescent="0.25">
      <c r="A252" s="1">
        <v>45877</v>
      </c>
      <c r="B252">
        <f>65*(1/(73/6))</f>
        <v>5.3424657534246585</v>
      </c>
      <c r="E252">
        <f t="shared" si="3"/>
        <v>5.1545988258317035</v>
      </c>
    </row>
    <row r="253" spans="1:5" x14ac:dyDescent="0.25">
      <c r="A253" s="1">
        <v>45878</v>
      </c>
      <c r="B253">
        <f>53*(1/(73/6))</f>
        <v>4.3561643835616444</v>
      </c>
      <c r="E253">
        <f t="shared" si="3"/>
        <v>5.1898238747553824</v>
      </c>
    </row>
    <row r="254" spans="1:5" x14ac:dyDescent="0.25">
      <c r="A254" s="1">
        <v>45879</v>
      </c>
      <c r="B254">
        <f>55*(1/(73/6))</f>
        <v>4.5205479452054798</v>
      </c>
      <c r="E254">
        <f t="shared" si="3"/>
        <v>5.2367906066536207</v>
      </c>
    </row>
    <row r="255" spans="1:5" x14ac:dyDescent="0.25">
      <c r="A255" s="1">
        <v>45880</v>
      </c>
      <c r="B255">
        <f>73*(1/(73/6))</f>
        <v>6.0000000000000009</v>
      </c>
      <c r="E255">
        <f t="shared" si="3"/>
        <v>5.2837573385518599</v>
      </c>
    </row>
    <row r="256" spans="1:5" x14ac:dyDescent="0.25">
      <c r="A256" s="1">
        <v>45881</v>
      </c>
      <c r="B256">
        <f>71*(1/(73/6))</f>
        <v>5.8356164383561646</v>
      </c>
      <c r="E256">
        <f t="shared" si="3"/>
        <v>5.3424657534246576</v>
      </c>
    </row>
    <row r="257" spans="1:5" x14ac:dyDescent="0.25">
      <c r="A257" s="1">
        <v>45882</v>
      </c>
      <c r="B257">
        <f>72*(1/(73/6))</f>
        <v>5.9178082191780828</v>
      </c>
      <c r="E257">
        <f t="shared" si="3"/>
        <v>5.3659491193737781</v>
      </c>
    </row>
    <row r="258" spans="1:5" x14ac:dyDescent="0.25">
      <c r="A258" s="1">
        <v>45883</v>
      </c>
      <c r="B258">
        <f>73*(1/(73/6))</f>
        <v>6.0000000000000009</v>
      </c>
      <c r="E258">
        <f t="shared" si="3"/>
        <v>5.4246575342465757</v>
      </c>
    </row>
    <row r="259" spans="1:5" x14ac:dyDescent="0.25">
      <c r="A259" s="1">
        <v>45884</v>
      </c>
      <c r="B259">
        <f>63*(1/(73/6))</f>
        <v>5.1780821917808222</v>
      </c>
      <c r="E259">
        <f t="shared" si="3"/>
        <v>5.401174168297457</v>
      </c>
    </row>
    <row r="260" spans="1:5" x14ac:dyDescent="0.25">
      <c r="A260" s="1">
        <v>45885</v>
      </c>
      <c r="B260">
        <f>51*(1/(73/6))</f>
        <v>4.191780821917809</v>
      </c>
      <c r="E260">
        <f t="shared" si="3"/>
        <v>5.3776908023483374</v>
      </c>
    </row>
    <row r="261" spans="1:5" x14ac:dyDescent="0.25">
      <c r="A261" s="1">
        <v>45886</v>
      </c>
      <c r="B261">
        <f>54*(1/(73/6))</f>
        <v>4.4383561643835625</v>
      </c>
      <c r="E261">
        <f t="shared" si="3"/>
        <v>5.3659491193737781</v>
      </c>
    </row>
    <row r="262" spans="1:5" x14ac:dyDescent="0.25">
      <c r="A262" s="1">
        <v>45887</v>
      </c>
      <c r="B262">
        <f>70*(1/(73/6))</f>
        <v>5.7534246575342474</v>
      </c>
      <c r="E262">
        <f t="shared" si="3"/>
        <v>5.3307240704500982</v>
      </c>
    </row>
    <row r="263" spans="1:5" x14ac:dyDescent="0.25">
      <c r="A263" s="1">
        <v>45888</v>
      </c>
      <c r="B263">
        <f>71*(1/(73/6))</f>
        <v>5.8356164383561646</v>
      </c>
      <c r="E263">
        <f t="shared" si="3"/>
        <v>5.3307240704500982</v>
      </c>
    </row>
    <row r="264" spans="1:5" x14ac:dyDescent="0.25">
      <c r="A264" s="1">
        <v>45889</v>
      </c>
      <c r="B264">
        <f>72*(1/(73/6))</f>
        <v>5.9178082191780828</v>
      </c>
      <c r="E264">
        <f t="shared" si="3"/>
        <v>5.3307240704500982</v>
      </c>
    </row>
    <row r="265" spans="1:5" x14ac:dyDescent="0.25">
      <c r="A265" s="1">
        <v>45890</v>
      </c>
      <c r="B265">
        <f>80*(1/(73/6))</f>
        <v>6.5753424657534252</v>
      </c>
      <c r="E265">
        <f t="shared" si="3"/>
        <v>5.4129158512720164</v>
      </c>
    </row>
    <row r="266" spans="1:5" x14ac:dyDescent="0.25">
      <c r="A266" s="1">
        <v>45891</v>
      </c>
      <c r="B266">
        <f>68*(1/(73/6))</f>
        <v>5.589041095890412</v>
      </c>
      <c r="E266">
        <f t="shared" si="3"/>
        <v>5.4716242661448149</v>
      </c>
    </row>
    <row r="267" spans="1:5" x14ac:dyDescent="0.25">
      <c r="A267" s="1">
        <v>45892</v>
      </c>
      <c r="B267">
        <f>57*(1/(73/6))</f>
        <v>4.684931506849316</v>
      </c>
      <c r="E267">
        <f t="shared" ref="E267:E330" si="4">AVERAGE(B261:B267)</f>
        <v>5.5420743639921728</v>
      </c>
    </row>
    <row r="268" spans="1:5" x14ac:dyDescent="0.25">
      <c r="A268" s="1">
        <v>45893</v>
      </c>
      <c r="B268">
        <f>57*(1/(73/6))</f>
        <v>4.684931506849316</v>
      </c>
      <c r="E268">
        <f t="shared" si="4"/>
        <v>5.5772994129158517</v>
      </c>
    </row>
    <row r="269" spans="1:5" x14ac:dyDescent="0.25">
      <c r="A269" s="1">
        <v>45894</v>
      </c>
      <c r="B269">
        <f>73*(1/(73/6))</f>
        <v>6.0000000000000009</v>
      </c>
      <c r="E269">
        <f t="shared" si="4"/>
        <v>5.6125244618395316</v>
      </c>
    </row>
    <row r="270" spans="1:5" x14ac:dyDescent="0.25">
      <c r="A270" s="1">
        <v>45895</v>
      </c>
      <c r="B270">
        <f>75*(1/(73/6))</f>
        <v>6.1643835616438363</v>
      </c>
      <c r="E270">
        <f t="shared" si="4"/>
        <v>5.6594911937377708</v>
      </c>
    </row>
    <row r="271" spans="1:5" x14ac:dyDescent="0.25">
      <c r="A271" s="1">
        <v>45896</v>
      </c>
      <c r="B271">
        <f>76*(1/(73/6))</f>
        <v>6.2465753424657544</v>
      </c>
      <c r="E271">
        <f t="shared" si="4"/>
        <v>5.7064579256360091</v>
      </c>
    </row>
    <row r="272" spans="1:5" x14ac:dyDescent="0.25">
      <c r="A272" s="1">
        <v>45897</v>
      </c>
      <c r="B272">
        <f>75*(1/(73/6))</f>
        <v>6.1643835616438363</v>
      </c>
      <c r="E272">
        <f t="shared" si="4"/>
        <v>5.6477495107632105</v>
      </c>
    </row>
    <row r="273" spans="1:5" x14ac:dyDescent="0.25">
      <c r="A273" s="1">
        <v>45898</v>
      </c>
      <c r="B273">
        <f>67*(1/(73/6))</f>
        <v>5.5068493150684938</v>
      </c>
      <c r="E273">
        <f t="shared" si="4"/>
        <v>5.6360078277886512</v>
      </c>
    </row>
    <row r="274" spans="1:5" x14ac:dyDescent="0.25">
      <c r="A274" s="1">
        <v>45899</v>
      </c>
      <c r="B274">
        <f>49*(1/(73/6))</f>
        <v>4.0273972602739727</v>
      </c>
      <c r="E274">
        <f t="shared" si="4"/>
        <v>5.5420743639921728</v>
      </c>
    </row>
    <row r="275" spans="1:5" x14ac:dyDescent="0.25">
      <c r="A275" s="1">
        <v>45900</v>
      </c>
      <c r="B275">
        <f>55*(1/(73/6))</f>
        <v>4.5205479452054798</v>
      </c>
      <c r="E275">
        <f t="shared" si="4"/>
        <v>5.5185909980430532</v>
      </c>
    </row>
    <row r="276" spans="1:5" x14ac:dyDescent="0.25">
      <c r="A276" s="1">
        <v>45901</v>
      </c>
      <c r="B276">
        <f>72*(1/(73/6))</f>
        <v>5.9178082191780828</v>
      </c>
      <c r="E276">
        <f t="shared" si="4"/>
        <v>5.5068493150684938</v>
      </c>
    </row>
    <row r="277" spans="1:5" x14ac:dyDescent="0.25">
      <c r="A277" s="1">
        <v>45902</v>
      </c>
      <c r="B277">
        <f>75*(1/(73/6))</f>
        <v>6.1643835616438363</v>
      </c>
      <c r="E277">
        <f t="shared" si="4"/>
        <v>5.5068493150684938</v>
      </c>
    </row>
    <row r="278" spans="1:5" x14ac:dyDescent="0.25">
      <c r="A278" s="1">
        <v>45903</v>
      </c>
      <c r="B278">
        <f>90*(1/(73/6))</f>
        <v>7.3972602739726039</v>
      </c>
      <c r="E278">
        <f t="shared" si="4"/>
        <v>5.6712328767123301</v>
      </c>
    </row>
    <row r="279" spans="1:5" x14ac:dyDescent="0.25">
      <c r="A279" s="1">
        <v>45904</v>
      </c>
      <c r="B279">
        <f>72*(1/(73/6))</f>
        <v>5.9178082191780828</v>
      </c>
      <c r="E279">
        <f t="shared" si="4"/>
        <v>5.6360078277886512</v>
      </c>
    </row>
    <row r="280" spans="1:5" x14ac:dyDescent="0.25">
      <c r="A280" s="1">
        <v>45905</v>
      </c>
      <c r="B280">
        <f>63*(1/(73/6))</f>
        <v>5.1780821917808222</v>
      </c>
      <c r="E280">
        <f t="shared" si="4"/>
        <v>5.5890410958904129</v>
      </c>
    </row>
    <row r="281" spans="1:5" x14ac:dyDescent="0.25">
      <c r="A281" s="1">
        <v>45906</v>
      </c>
      <c r="B281">
        <f>56*(1/(73/6))</f>
        <v>4.6027397260273979</v>
      </c>
      <c r="E281">
        <f t="shared" si="4"/>
        <v>5.6712328767123301</v>
      </c>
    </row>
    <row r="282" spans="1:5" x14ac:dyDescent="0.25">
      <c r="A282" s="1">
        <v>45907</v>
      </c>
      <c r="B282">
        <f>57*(1/(73/6))</f>
        <v>4.684931506849316</v>
      </c>
      <c r="E282">
        <f t="shared" si="4"/>
        <v>5.6947162426614497</v>
      </c>
    </row>
    <row r="283" spans="1:5" x14ac:dyDescent="0.25">
      <c r="A283" s="1">
        <v>45908</v>
      </c>
      <c r="B283">
        <f>73*(1/(73/6))</f>
        <v>6.0000000000000009</v>
      </c>
      <c r="E283">
        <f t="shared" si="4"/>
        <v>5.7064579256360082</v>
      </c>
    </row>
    <row r="284" spans="1:5" x14ac:dyDescent="0.25">
      <c r="A284" s="1">
        <v>45909</v>
      </c>
      <c r="B284">
        <f>72*(1/(73/6))</f>
        <v>5.9178082191780828</v>
      </c>
      <c r="E284">
        <f t="shared" si="4"/>
        <v>5.6712328767123301</v>
      </c>
    </row>
    <row r="285" spans="1:5" x14ac:dyDescent="0.25">
      <c r="A285" s="1">
        <v>45910</v>
      </c>
      <c r="B285">
        <f>74*(1/(73/6))</f>
        <v>6.0821917808219181</v>
      </c>
      <c r="E285">
        <f t="shared" si="4"/>
        <v>5.4833659491193742</v>
      </c>
    </row>
    <row r="286" spans="1:5" x14ac:dyDescent="0.25">
      <c r="A286" s="1">
        <v>45911</v>
      </c>
      <c r="B286">
        <f>73*(1/(73/6))</f>
        <v>6.0000000000000009</v>
      </c>
      <c r="E286">
        <f t="shared" si="4"/>
        <v>5.4951076320939336</v>
      </c>
    </row>
    <row r="287" spans="1:5" x14ac:dyDescent="0.25">
      <c r="A287" s="1">
        <v>45912</v>
      </c>
      <c r="B287">
        <f>63*(1/(73/6))</f>
        <v>5.1780821917808222</v>
      </c>
      <c r="E287">
        <f t="shared" si="4"/>
        <v>5.4951076320939345</v>
      </c>
    </row>
    <row r="288" spans="1:5" x14ac:dyDescent="0.25">
      <c r="A288" s="1">
        <v>45913</v>
      </c>
      <c r="B288">
        <f>54*(1/(73/6))</f>
        <v>4.4383561643835625</v>
      </c>
      <c r="E288">
        <f t="shared" si="4"/>
        <v>5.4716242661448149</v>
      </c>
    </row>
    <row r="289" spans="1:5" x14ac:dyDescent="0.25">
      <c r="A289" s="1">
        <v>45914</v>
      </c>
      <c r="B289">
        <f>56*(1/(73/6))</f>
        <v>4.6027397260273979</v>
      </c>
      <c r="E289">
        <f t="shared" si="4"/>
        <v>5.4598825831702555</v>
      </c>
    </row>
    <row r="290" spans="1:5" x14ac:dyDescent="0.25">
      <c r="A290" s="1">
        <v>45915</v>
      </c>
      <c r="B290">
        <f>79*(1/(73/6))</f>
        <v>6.4931506849315079</v>
      </c>
      <c r="E290">
        <f t="shared" si="4"/>
        <v>5.5303326810176134</v>
      </c>
    </row>
    <row r="291" spans="1:5" x14ac:dyDescent="0.25">
      <c r="A291" s="1">
        <v>45916</v>
      </c>
      <c r="B291">
        <f>79*(1/(73/6))</f>
        <v>6.4931506849315079</v>
      </c>
      <c r="E291">
        <f t="shared" si="4"/>
        <v>5.6125244618395316</v>
      </c>
    </row>
    <row r="292" spans="1:5" x14ac:dyDescent="0.25">
      <c r="A292" s="1">
        <v>45917</v>
      </c>
      <c r="B292">
        <f>74*(1/(73/6))</f>
        <v>6.0821917808219181</v>
      </c>
      <c r="E292">
        <f t="shared" si="4"/>
        <v>5.6125244618395316</v>
      </c>
    </row>
    <row r="293" spans="1:5" x14ac:dyDescent="0.25">
      <c r="A293" s="1">
        <v>45918</v>
      </c>
      <c r="B293">
        <f>77*(1/(73/6))</f>
        <v>6.3287671232876717</v>
      </c>
      <c r="E293">
        <f t="shared" si="4"/>
        <v>5.659491193737769</v>
      </c>
    </row>
    <row r="294" spans="1:5" x14ac:dyDescent="0.25">
      <c r="A294" s="1">
        <v>45919</v>
      </c>
      <c r="B294">
        <f>69*(1/(73/6))</f>
        <v>5.6712328767123292</v>
      </c>
      <c r="E294">
        <f t="shared" si="4"/>
        <v>5.7299412915851278</v>
      </c>
    </row>
    <row r="295" spans="1:5" x14ac:dyDescent="0.25">
      <c r="A295" s="1">
        <v>45920</v>
      </c>
      <c r="B295">
        <f>58*(1/(73/6))</f>
        <v>4.7671232876712333</v>
      </c>
      <c r="E295">
        <f t="shared" si="4"/>
        <v>5.7769080234833661</v>
      </c>
    </row>
    <row r="296" spans="1:5" x14ac:dyDescent="0.25">
      <c r="A296" s="1">
        <v>45921</v>
      </c>
      <c r="B296">
        <f>60*(1/(73/6))</f>
        <v>4.9315068493150687</v>
      </c>
      <c r="E296">
        <f t="shared" si="4"/>
        <v>5.8238747553816053</v>
      </c>
    </row>
    <row r="297" spans="1:5" x14ac:dyDescent="0.25">
      <c r="A297" s="1">
        <v>45922</v>
      </c>
      <c r="B297">
        <f>78*(1/(73/6))</f>
        <v>6.4109589041095898</v>
      </c>
      <c r="E297">
        <f t="shared" si="4"/>
        <v>5.8121330724070459</v>
      </c>
    </row>
    <row r="298" spans="1:5" x14ac:dyDescent="0.25">
      <c r="A298" s="1">
        <v>45923</v>
      </c>
      <c r="B298">
        <f>79*(1/(73/6))</f>
        <v>6.4931506849315079</v>
      </c>
      <c r="E298">
        <f t="shared" si="4"/>
        <v>5.812133072407045</v>
      </c>
    </row>
    <row r="299" spans="1:5" x14ac:dyDescent="0.25">
      <c r="A299" s="1">
        <v>45924</v>
      </c>
      <c r="B299">
        <f>75*(1/(73/6))</f>
        <v>6.1643835616438363</v>
      </c>
      <c r="E299">
        <f t="shared" si="4"/>
        <v>5.8238747553816053</v>
      </c>
    </row>
    <row r="300" spans="1:5" x14ac:dyDescent="0.25">
      <c r="A300" s="1">
        <v>45925</v>
      </c>
      <c r="B300">
        <f>77*(1/(73/6))</f>
        <v>6.3287671232876717</v>
      </c>
      <c r="E300">
        <f t="shared" si="4"/>
        <v>5.8238747553816044</v>
      </c>
    </row>
    <row r="301" spans="1:5" x14ac:dyDescent="0.25">
      <c r="A301" s="1">
        <v>45926</v>
      </c>
      <c r="B301">
        <f>66*(1/(73/6))</f>
        <v>5.4246575342465757</v>
      </c>
      <c r="E301">
        <f t="shared" si="4"/>
        <v>5.7886497064579263</v>
      </c>
    </row>
    <row r="302" spans="1:5" x14ac:dyDescent="0.25">
      <c r="A302" s="1">
        <v>45927</v>
      </c>
      <c r="B302">
        <f>55*(1/(73/6))</f>
        <v>4.5205479452054798</v>
      </c>
      <c r="E302">
        <f t="shared" si="4"/>
        <v>5.7534246575342465</v>
      </c>
    </row>
    <row r="303" spans="1:5" x14ac:dyDescent="0.25">
      <c r="A303" s="1">
        <v>45928</v>
      </c>
      <c r="B303">
        <f>60*(1/(73/6))</f>
        <v>4.9315068493150687</v>
      </c>
      <c r="E303">
        <f t="shared" si="4"/>
        <v>5.7534246575342474</v>
      </c>
    </row>
    <row r="304" spans="1:5" x14ac:dyDescent="0.25">
      <c r="A304" s="1">
        <v>45929</v>
      </c>
      <c r="B304">
        <f>82*(1/(73/6))</f>
        <v>6.7397260273972615</v>
      </c>
      <c r="E304">
        <f t="shared" si="4"/>
        <v>5.8003913894324857</v>
      </c>
    </row>
    <row r="305" spans="1:5" x14ac:dyDescent="0.25">
      <c r="A305" s="1">
        <v>45930</v>
      </c>
      <c r="B305">
        <f>79*(1/(73/6))</f>
        <v>6.4931506849315079</v>
      </c>
      <c r="E305">
        <f t="shared" si="4"/>
        <v>5.8003913894324857</v>
      </c>
    </row>
    <row r="306" spans="1:5" x14ac:dyDescent="0.25">
      <c r="A306" s="1">
        <v>45931</v>
      </c>
      <c r="B306">
        <f>69*(1/(73/6))</f>
        <v>5.6712328767123292</v>
      </c>
      <c r="E306">
        <f t="shared" si="4"/>
        <v>5.7299412915851278</v>
      </c>
    </row>
    <row r="307" spans="1:5" x14ac:dyDescent="0.25">
      <c r="A307" s="1">
        <v>45932</v>
      </c>
      <c r="B307">
        <f>67*(1/(73/6))</f>
        <v>5.5068493150684938</v>
      </c>
      <c r="E307">
        <f t="shared" si="4"/>
        <v>5.6125244618395316</v>
      </c>
    </row>
    <row r="308" spans="1:5" x14ac:dyDescent="0.25">
      <c r="A308" s="1">
        <v>45933</v>
      </c>
      <c r="B308">
        <f>63*(1/(73/6))</f>
        <v>5.1780821917808222</v>
      </c>
      <c r="E308">
        <f t="shared" si="4"/>
        <v>5.5772994129158517</v>
      </c>
    </row>
    <row r="309" spans="1:5" x14ac:dyDescent="0.25">
      <c r="A309" s="1">
        <v>45934</v>
      </c>
      <c r="B309">
        <f>54*(1/(73/6))</f>
        <v>4.4383561643835625</v>
      </c>
      <c r="E309">
        <f t="shared" si="4"/>
        <v>5.5655577299412924</v>
      </c>
    </row>
    <row r="310" spans="1:5" x14ac:dyDescent="0.25">
      <c r="A310" s="1">
        <v>45935</v>
      </c>
      <c r="B310">
        <f>57*(1/(73/6))</f>
        <v>4.684931506849316</v>
      </c>
      <c r="E310">
        <f t="shared" si="4"/>
        <v>5.5303326810176134</v>
      </c>
    </row>
    <row r="311" spans="1:5" x14ac:dyDescent="0.25">
      <c r="A311" s="1">
        <v>45936</v>
      </c>
      <c r="B311">
        <f>72*(1/(73/6))</f>
        <v>5.9178082191780828</v>
      </c>
      <c r="E311">
        <f t="shared" si="4"/>
        <v>5.4129158512720172</v>
      </c>
    </row>
    <row r="312" spans="1:5" x14ac:dyDescent="0.25">
      <c r="A312" s="1">
        <v>45937</v>
      </c>
      <c r="B312">
        <f>76*(1/(73/6))</f>
        <v>6.2465753424657544</v>
      </c>
      <c r="E312">
        <f t="shared" si="4"/>
        <v>5.3776908023483383</v>
      </c>
    </row>
    <row r="313" spans="1:5" x14ac:dyDescent="0.25">
      <c r="A313" s="1">
        <v>45938</v>
      </c>
      <c r="B313">
        <f>74*(1/(73/6))</f>
        <v>6.0821917808219181</v>
      </c>
      <c r="E313">
        <f t="shared" si="4"/>
        <v>5.4363992172211359</v>
      </c>
    </row>
    <row r="314" spans="1:5" x14ac:dyDescent="0.25">
      <c r="A314" s="1">
        <v>45939</v>
      </c>
      <c r="B314">
        <f>77*(1/(73/6))</f>
        <v>6.3287671232876717</v>
      </c>
      <c r="E314">
        <f t="shared" si="4"/>
        <v>5.5538160469667313</v>
      </c>
    </row>
    <row r="315" spans="1:5" x14ac:dyDescent="0.25">
      <c r="A315" s="1">
        <v>45940</v>
      </c>
      <c r="B315">
        <f>69*(1/(73/6))</f>
        <v>5.6712328767123292</v>
      </c>
      <c r="E315">
        <f t="shared" si="4"/>
        <v>5.6242661448140909</v>
      </c>
    </row>
    <row r="316" spans="1:5" x14ac:dyDescent="0.25">
      <c r="A316" s="1">
        <v>45941</v>
      </c>
      <c r="B316">
        <f>59*(1/(73/6))</f>
        <v>4.8493150684931514</v>
      </c>
      <c r="E316">
        <f t="shared" si="4"/>
        <v>5.6829745596868895</v>
      </c>
    </row>
    <row r="317" spans="1:5" x14ac:dyDescent="0.25">
      <c r="A317" s="1">
        <v>45942</v>
      </c>
      <c r="B317">
        <f>62*(1/(73/6))</f>
        <v>5.0958904109589049</v>
      </c>
      <c r="E317">
        <f t="shared" si="4"/>
        <v>5.741682974559688</v>
      </c>
    </row>
    <row r="318" spans="1:5" x14ac:dyDescent="0.25">
      <c r="A318" s="1">
        <v>45943</v>
      </c>
      <c r="B318">
        <f>78*(1/(73/6))</f>
        <v>6.4109589041095898</v>
      </c>
      <c r="E318">
        <f t="shared" si="4"/>
        <v>5.8121330724070459</v>
      </c>
    </row>
    <row r="319" spans="1:5" x14ac:dyDescent="0.25">
      <c r="A319" s="1">
        <v>45944</v>
      </c>
      <c r="B319">
        <f>78*(1/(73/6))</f>
        <v>6.4109589041095898</v>
      </c>
      <c r="E319">
        <f t="shared" si="4"/>
        <v>5.8356164383561646</v>
      </c>
    </row>
    <row r="320" spans="1:5" x14ac:dyDescent="0.25">
      <c r="A320" s="1">
        <v>45945</v>
      </c>
      <c r="B320">
        <f>79*(1/(73/6))</f>
        <v>6.4931506849315079</v>
      </c>
      <c r="E320">
        <f t="shared" si="4"/>
        <v>5.894324853228964</v>
      </c>
    </row>
    <row r="321" spans="1:5" x14ac:dyDescent="0.25">
      <c r="A321" s="1">
        <v>45946</v>
      </c>
      <c r="B321">
        <f>76*(1/(73/6))</f>
        <v>6.2465753424657544</v>
      </c>
      <c r="E321">
        <f t="shared" si="4"/>
        <v>5.8825831702544038</v>
      </c>
    </row>
    <row r="322" spans="1:5" x14ac:dyDescent="0.25">
      <c r="A322" s="1">
        <v>45947</v>
      </c>
      <c r="B322">
        <f>69*(1/(73/6))</f>
        <v>5.6712328767123292</v>
      </c>
      <c r="E322">
        <f t="shared" si="4"/>
        <v>5.8825831702544047</v>
      </c>
    </row>
    <row r="323" spans="1:5" x14ac:dyDescent="0.25">
      <c r="A323" s="1">
        <v>45948</v>
      </c>
      <c r="B323">
        <f>55*(1/(73/6))</f>
        <v>4.5205479452054798</v>
      </c>
      <c r="E323">
        <f t="shared" si="4"/>
        <v>5.8356164383561646</v>
      </c>
    </row>
    <row r="324" spans="1:5" x14ac:dyDescent="0.25">
      <c r="A324" s="1">
        <v>45949</v>
      </c>
      <c r="B324">
        <f>55*(1/(73/6))</f>
        <v>4.5205479452054798</v>
      </c>
      <c r="E324">
        <f t="shared" si="4"/>
        <v>5.7534246575342465</v>
      </c>
    </row>
    <row r="325" spans="1:5" x14ac:dyDescent="0.25">
      <c r="A325" s="1">
        <v>45950</v>
      </c>
      <c r="B325">
        <f>82*(1/(73/6))</f>
        <v>6.7397260273972615</v>
      </c>
      <c r="E325">
        <f t="shared" si="4"/>
        <v>5.8003913894324857</v>
      </c>
    </row>
    <row r="326" spans="1:5" x14ac:dyDescent="0.25">
      <c r="A326" s="1">
        <v>45951</v>
      </c>
      <c r="B326">
        <f>84*(1/(73/6))</f>
        <v>6.9041095890410968</v>
      </c>
      <c r="E326">
        <f t="shared" si="4"/>
        <v>5.8708414872798445</v>
      </c>
    </row>
    <row r="327" spans="1:5" x14ac:dyDescent="0.25">
      <c r="A327" s="1">
        <v>45952</v>
      </c>
      <c r="B327">
        <f>80*(1/(73/6))</f>
        <v>6.5753424657534252</v>
      </c>
      <c r="E327">
        <f t="shared" si="4"/>
        <v>5.8825831702544038</v>
      </c>
    </row>
    <row r="328" spans="1:5" x14ac:dyDescent="0.25">
      <c r="A328" s="1">
        <v>45953</v>
      </c>
      <c r="B328">
        <f>79*(1/(73/6))</f>
        <v>6.4931506849315079</v>
      </c>
      <c r="E328">
        <f t="shared" si="4"/>
        <v>5.9178082191780828</v>
      </c>
    </row>
    <row r="329" spans="1:5" x14ac:dyDescent="0.25">
      <c r="A329" s="1">
        <v>45954</v>
      </c>
      <c r="B329">
        <f>71*(1/(73/6))</f>
        <v>5.8356164383561646</v>
      </c>
      <c r="E329">
        <f t="shared" si="4"/>
        <v>5.9412915851272023</v>
      </c>
    </row>
    <row r="330" spans="1:5" x14ac:dyDescent="0.25">
      <c r="A330" s="1">
        <v>45955</v>
      </c>
      <c r="B330">
        <f>60*(1/(73/6))</f>
        <v>4.9315068493150687</v>
      </c>
      <c r="E330">
        <f t="shared" si="4"/>
        <v>6.0000000000000009</v>
      </c>
    </row>
    <row r="331" spans="1:5" x14ac:dyDescent="0.25">
      <c r="A331" s="1">
        <v>45956</v>
      </c>
      <c r="B331">
        <f>63*(1/(73/6))</f>
        <v>5.1780821917808222</v>
      </c>
      <c r="E331">
        <f t="shared" ref="E331:E363" si="5">AVERAGE(B325:B331)</f>
        <v>6.0939334637964793</v>
      </c>
    </row>
    <row r="332" spans="1:5" x14ac:dyDescent="0.25">
      <c r="A332" s="1">
        <v>45957</v>
      </c>
      <c r="B332">
        <f>79*(1/(73/6))</f>
        <v>6.4931506849315079</v>
      </c>
      <c r="E332">
        <f t="shared" si="5"/>
        <v>6.0587084148727985</v>
      </c>
    </row>
    <row r="333" spans="1:5" x14ac:dyDescent="0.25">
      <c r="A333" s="1">
        <v>45958</v>
      </c>
      <c r="B333">
        <f>81*(1/(73/6))</f>
        <v>6.6575342465753433</v>
      </c>
      <c r="E333">
        <f t="shared" si="5"/>
        <v>6.0234833659491205</v>
      </c>
    </row>
    <row r="334" spans="1:5" x14ac:dyDescent="0.25">
      <c r="A334" s="1">
        <v>45959</v>
      </c>
      <c r="B334">
        <f>77*(1/(73/6))</f>
        <v>6.3287671232876717</v>
      </c>
      <c r="E334">
        <f t="shared" si="5"/>
        <v>5.9882583170254406</v>
      </c>
    </row>
    <row r="335" spans="1:5" x14ac:dyDescent="0.25">
      <c r="A335" s="1">
        <v>45960</v>
      </c>
      <c r="B335">
        <f>79*(1/(73/6))</f>
        <v>6.4931506849315079</v>
      </c>
      <c r="E335">
        <f t="shared" si="5"/>
        <v>5.9882583170254406</v>
      </c>
    </row>
    <row r="336" spans="1:5" x14ac:dyDescent="0.25">
      <c r="A336" s="1">
        <v>45961</v>
      </c>
      <c r="B336">
        <f>67*(1/(73/6))</f>
        <v>5.5068493150684938</v>
      </c>
      <c r="E336">
        <f t="shared" si="5"/>
        <v>5.9412915851272023</v>
      </c>
    </row>
    <row r="337" spans="1:5" x14ac:dyDescent="0.25">
      <c r="A337" s="1">
        <v>45962</v>
      </c>
      <c r="B337">
        <f>55*(1/(73/6))</f>
        <v>4.5205479452054798</v>
      </c>
      <c r="E337">
        <f t="shared" si="5"/>
        <v>5.8825831702544047</v>
      </c>
    </row>
    <row r="338" spans="1:5" x14ac:dyDescent="0.25">
      <c r="A338" s="1">
        <v>45963</v>
      </c>
      <c r="B338">
        <f>54*(1/(73/6))</f>
        <v>4.4383561643835625</v>
      </c>
      <c r="E338">
        <f t="shared" si="5"/>
        <v>5.776908023483367</v>
      </c>
    </row>
    <row r="339" spans="1:5" x14ac:dyDescent="0.25">
      <c r="A339" s="1">
        <v>45964</v>
      </c>
      <c r="B339">
        <f>77*(1/(73/6))</f>
        <v>6.3287671232876717</v>
      </c>
      <c r="E339">
        <f t="shared" si="5"/>
        <v>5.7534246575342465</v>
      </c>
    </row>
    <row r="340" spans="1:5" x14ac:dyDescent="0.25">
      <c r="A340" s="1">
        <v>45965</v>
      </c>
      <c r="B340">
        <f>74*(1/(73/6))</f>
        <v>6.0821917808219181</v>
      </c>
      <c r="E340">
        <f t="shared" si="5"/>
        <v>5.6712328767123292</v>
      </c>
    </row>
    <row r="341" spans="1:5" x14ac:dyDescent="0.25">
      <c r="A341" s="1">
        <v>45966</v>
      </c>
      <c r="B341">
        <f>75*(1/(73/6))</f>
        <v>6.1643835616438363</v>
      </c>
      <c r="E341">
        <f t="shared" si="5"/>
        <v>5.6477495107632105</v>
      </c>
    </row>
    <row r="342" spans="1:5" x14ac:dyDescent="0.25">
      <c r="A342" s="1">
        <v>45967</v>
      </c>
      <c r="B342">
        <f>76*(1/(73/6))</f>
        <v>6.2465753424657544</v>
      </c>
      <c r="E342">
        <f t="shared" si="5"/>
        <v>5.6125244618395316</v>
      </c>
    </row>
    <row r="343" spans="1:5" x14ac:dyDescent="0.25">
      <c r="A343" s="1">
        <v>45968</v>
      </c>
      <c r="B343">
        <f>67*(1/(73/6))</f>
        <v>5.5068493150684938</v>
      </c>
      <c r="E343">
        <f t="shared" si="5"/>
        <v>5.6125244618395316</v>
      </c>
    </row>
    <row r="344" spans="1:5" x14ac:dyDescent="0.25">
      <c r="A344" s="1">
        <v>45969</v>
      </c>
      <c r="B344">
        <f>55*(1/(73/6))</f>
        <v>4.5205479452054798</v>
      </c>
      <c r="E344">
        <f t="shared" si="5"/>
        <v>5.6125244618395298</v>
      </c>
    </row>
    <row r="345" spans="1:5" x14ac:dyDescent="0.25">
      <c r="A345" s="1">
        <v>45970</v>
      </c>
      <c r="B345">
        <f>58*(1/(73/6))</f>
        <v>4.7671232876712333</v>
      </c>
      <c r="E345">
        <f t="shared" si="5"/>
        <v>5.6594911937377699</v>
      </c>
    </row>
    <row r="346" spans="1:5" x14ac:dyDescent="0.25">
      <c r="A346" s="1">
        <v>45971</v>
      </c>
      <c r="B346">
        <f>78*(1/(73/6))</f>
        <v>6.4109589041095898</v>
      </c>
      <c r="E346">
        <f t="shared" si="5"/>
        <v>5.6712328767123292</v>
      </c>
    </row>
    <row r="347" spans="1:5" x14ac:dyDescent="0.25">
      <c r="A347" s="1">
        <v>45972</v>
      </c>
      <c r="B347">
        <f>79*(1/(73/6))</f>
        <v>6.4931506849315079</v>
      </c>
      <c r="E347">
        <f t="shared" si="5"/>
        <v>5.7299412915851278</v>
      </c>
    </row>
    <row r="348" spans="1:5" x14ac:dyDescent="0.25">
      <c r="A348" s="1">
        <v>45973</v>
      </c>
      <c r="B348">
        <f>78*(1/(73/6))</f>
        <v>6.4109589041095898</v>
      </c>
      <c r="E348">
        <f t="shared" si="5"/>
        <v>5.7651663405088067</v>
      </c>
    </row>
    <row r="349" spans="1:5" x14ac:dyDescent="0.25">
      <c r="A349" s="1">
        <v>45974</v>
      </c>
      <c r="B349">
        <f>76*(1/(73/6))</f>
        <v>6.2465753424657544</v>
      </c>
      <c r="E349">
        <f t="shared" si="5"/>
        <v>5.7651663405088067</v>
      </c>
    </row>
    <row r="350" spans="1:5" x14ac:dyDescent="0.25">
      <c r="A350" s="1">
        <v>45975</v>
      </c>
      <c r="B350">
        <f>67*(1/(73/6))</f>
        <v>5.5068493150684938</v>
      </c>
      <c r="E350">
        <f t="shared" si="5"/>
        <v>5.7651663405088067</v>
      </c>
    </row>
    <row r="351" spans="1:5" x14ac:dyDescent="0.25">
      <c r="A351" s="1">
        <v>45976</v>
      </c>
      <c r="B351">
        <f>57*(1/(73/6))</f>
        <v>4.684931506849316</v>
      </c>
      <c r="E351">
        <f t="shared" si="5"/>
        <v>5.7886497064579263</v>
      </c>
    </row>
    <row r="352" spans="1:5" x14ac:dyDescent="0.25">
      <c r="A352" s="1">
        <v>45977</v>
      </c>
      <c r="B352">
        <f>57*(1/(73/6))</f>
        <v>4.684931506849316</v>
      </c>
      <c r="E352">
        <f t="shared" si="5"/>
        <v>5.776908023483367</v>
      </c>
    </row>
    <row r="353" spans="1:5" x14ac:dyDescent="0.25">
      <c r="A353" s="1">
        <v>45978</v>
      </c>
      <c r="B353">
        <f>75*(1/(73/6))</f>
        <v>6.1643835616438363</v>
      </c>
      <c r="E353">
        <f t="shared" si="5"/>
        <v>5.741682974559688</v>
      </c>
    </row>
    <row r="354" spans="1:5" x14ac:dyDescent="0.25">
      <c r="A354" s="1">
        <v>45979</v>
      </c>
      <c r="B354">
        <f>100*(1/(73/6))</f>
        <v>8.2191780821917817</v>
      </c>
      <c r="E354">
        <f t="shared" si="5"/>
        <v>5.9882583170254415</v>
      </c>
    </row>
    <row r="355" spans="1:5" x14ac:dyDescent="0.25">
      <c r="A355" s="1">
        <v>45980</v>
      </c>
      <c r="B355">
        <f>75*(1/(73/6))</f>
        <v>6.1643835616438363</v>
      </c>
      <c r="E355">
        <f t="shared" si="5"/>
        <v>5.9530332681017626</v>
      </c>
    </row>
    <row r="356" spans="1:5" x14ac:dyDescent="0.25">
      <c r="A356" s="1">
        <v>45981</v>
      </c>
      <c r="B356">
        <f>71*(1/(73/6))</f>
        <v>5.8356164383561646</v>
      </c>
      <c r="E356">
        <f t="shared" si="5"/>
        <v>5.894324853228964</v>
      </c>
    </row>
    <row r="357" spans="1:5" x14ac:dyDescent="0.25">
      <c r="A357" s="1">
        <v>45982</v>
      </c>
      <c r="B357">
        <f>63*(1/(73/6))</f>
        <v>5.1780821917808222</v>
      </c>
      <c r="E357">
        <f t="shared" si="5"/>
        <v>5.847358121330724</v>
      </c>
    </row>
    <row r="358" spans="1:5" x14ac:dyDescent="0.25">
      <c r="A358" s="1">
        <v>45983</v>
      </c>
      <c r="B358">
        <f>54*(1/(73/6))</f>
        <v>4.4383561643835625</v>
      </c>
      <c r="E358">
        <f t="shared" si="5"/>
        <v>5.812133072407045</v>
      </c>
    </row>
    <row r="359" spans="1:5" x14ac:dyDescent="0.25">
      <c r="A359" s="1">
        <v>45984</v>
      </c>
      <c r="B359">
        <f>53*(1/(73/6))</f>
        <v>4.3561643835616444</v>
      </c>
      <c r="E359">
        <f t="shared" si="5"/>
        <v>5.7651663405088067</v>
      </c>
    </row>
    <row r="360" spans="1:5" x14ac:dyDescent="0.25">
      <c r="A360" s="1">
        <v>45985</v>
      </c>
      <c r="B360">
        <f>69*(1/(73/6))</f>
        <v>5.6712328767123292</v>
      </c>
      <c r="E360">
        <f t="shared" si="5"/>
        <v>5.6947162426614497</v>
      </c>
    </row>
    <row r="361" spans="1:5" x14ac:dyDescent="0.25">
      <c r="A361" s="1">
        <v>45986</v>
      </c>
      <c r="B361">
        <f>69*(1/(73/6))</f>
        <v>5.6712328767123292</v>
      </c>
      <c r="E361">
        <f t="shared" si="5"/>
        <v>5.3307240704500982</v>
      </c>
    </row>
    <row r="362" spans="1:5" x14ac:dyDescent="0.25">
      <c r="A362" s="1">
        <v>45987</v>
      </c>
      <c r="B362">
        <f>65*(1/(73/6))</f>
        <v>5.3424657534246585</v>
      </c>
      <c r="E362">
        <f t="shared" si="5"/>
        <v>5.2133072407045011</v>
      </c>
    </row>
    <row r="363" spans="1:5" x14ac:dyDescent="0.25">
      <c r="A363" s="1">
        <v>45988</v>
      </c>
      <c r="B363">
        <f>65*(1/(73/6))</f>
        <v>5.3424657534246585</v>
      </c>
      <c r="E363">
        <f t="shared" si="5"/>
        <v>5.1428571428571441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Adeesh Jain</dc:creator>
  <cp:lastModifiedBy>Adeesh Jain</cp:lastModifiedBy>
  <dcterms:created xsi:type="dcterms:W3CDTF">2025-12-10T12:24:48Z</dcterms:created>
  <dcterms:modified xsi:type="dcterms:W3CDTF">2025-12-10T14:18:48Z</dcterms:modified>
</cp:coreProperties>
</file>