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es\OneDrive\Desktop\NII4\"/>
    </mc:Choice>
  </mc:AlternateContent>
  <xr:revisionPtr revIDLastSave="0" documentId="13_ncr:1_{678605A6-D884-4DD9-A055-10B39793DA09}" xr6:coauthVersionLast="47" xr6:coauthVersionMax="47" xr10:uidLastSave="{00000000-0000-0000-0000-000000000000}"/>
  <bookViews>
    <workbookView xWindow="-120" yWindow="-120" windowWidth="29040" windowHeight="15720" xr2:uid="{B80BCAC3-36B3-4CE0-A66E-8B9AF9005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" i="1" l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19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</calcChain>
</file>

<file path=xl/sharedStrings.xml><?xml version="1.0" encoding="utf-8"?>
<sst xmlns="http://schemas.openxmlformats.org/spreadsheetml/2006/main" count="3" uniqueCount="3">
  <si>
    <t>Day</t>
  </si>
  <si>
    <t>ChatGPT: (Worldwide)</t>
  </si>
  <si>
    <t>7 Day rolling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</si>
</sst>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378B-21F3-4866-96C8-DEB696ECA52A}">
  <dimension ref="A1:E1072"/>
  <sheetViews>
    <sheetView tabSelected="1" topLeftCell="A954" workbookViewId="0">
      <selection activeCell="M972" sqref="M972"/>
    </sheetView>
  </sheetViews>
  <sheetFormatPr defaultRowHeight="15" x14ac:dyDescent="0.25"/>
  <cols>
    <col min="1" max="2" width="12.5703125" customWidth="1"/>
  </cols>
  <sheetData>
    <row r="1" spans="1:5" x14ac:dyDescent="0.25">
      <c r="A1" t="s">
        <v>0</v>
      </c>
      <c r="B1" t="s">
        <v>1</v>
      </c>
      <c r="E1" t="s">
        <v>2</v>
      </c>
    </row>
    <row r="2" spans="1:5" x14ac:dyDescent="0.25">
      <c r="A2" s="1">
        <v>45012</v>
      </c>
      <c r="B2">
        <v>0</v>
      </c>
    </row>
    <row r="3" spans="1:5" x14ac:dyDescent="0.25">
      <c r="A3" s="1">
        <v>45013</v>
      </c>
      <c r="B3">
        <v>0</v>
      </c>
    </row>
    <row r="4" spans="1:5" x14ac:dyDescent="0.25">
      <c r="A4" s="1">
        <v>45014</v>
      </c>
      <c r="B4">
        <v>0</v>
      </c>
    </row>
    <row r="5" spans="1:5" x14ac:dyDescent="0.25">
      <c r="A5" s="1">
        <v>45015</v>
      </c>
      <c r="B5">
        <v>0</v>
      </c>
    </row>
    <row r="6" spans="1:5" x14ac:dyDescent="0.25">
      <c r="A6" s="1">
        <v>45016</v>
      </c>
      <c r="B6">
        <v>0</v>
      </c>
    </row>
    <row r="7" spans="1:5" x14ac:dyDescent="0.25">
      <c r="A7" s="1">
        <v>45017</v>
      </c>
      <c r="B7">
        <v>0</v>
      </c>
    </row>
    <row r="8" spans="1:5" x14ac:dyDescent="0.25">
      <c r="A8" s="1">
        <v>45018</v>
      </c>
      <c r="B8">
        <v>0</v>
      </c>
    </row>
    <row r="9" spans="1:5" x14ac:dyDescent="0.25">
      <c r="A9" s="1">
        <v>45019</v>
      </c>
      <c r="B9">
        <v>0</v>
      </c>
    </row>
    <row r="10" spans="1:5" x14ac:dyDescent="0.25">
      <c r="A10" s="1">
        <v>45020</v>
      </c>
      <c r="B10">
        <v>0</v>
      </c>
    </row>
    <row r="11" spans="1:5" x14ac:dyDescent="0.25">
      <c r="A11" s="1">
        <v>45021</v>
      </c>
      <c r="B11">
        <v>0</v>
      </c>
    </row>
    <row r="12" spans="1:5" x14ac:dyDescent="0.25">
      <c r="A12" s="1">
        <v>45022</v>
      </c>
      <c r="B12">
        <v>0</v>
      </c>
    </row>
    <row r="13" spans="1:5" x14ac:dyDescent="0.25">
      <c r="A13" s="1">
        <v>45023</v>
      </c>
      <c r="B13">
        <v>0</v>
      </c>
    </row>
    <row r="14" spans="1:5" x14ac:dyDescent="0.25">
      <c r="A14" s="1">
        <v>45024</v>
      </c>
      <c r="B14">
        <v>0</v>
      </c>
    </row>
    <row r="15" spans="1:5" x14ac:dyDescent="0.25">
      <c r="A15" s="1">
        <v>45025</v>
      </c>
      <c r="B15">
        <v>0</v>
      </c>
    </row>
    <row r="16" spans="1:5" x14ac:dyDescent="0.25">
      <c r="A16" s="1">
        <v>45026</v>
      </c>
      <c r="B16">
        <v>0</v>
      </c>
    </row>
    <row r="17" spans="1:5" x14ac:dyDescent="0.25">
      <c r="A17" s="1">
        <v>45027</v>
      </c>
      <c r="B17">
        <v>0</v>
      </c>
    </row>
    <row r="18" spans="1:5" x14ac:dyDescent="0.25">
      <c r="A18" s="1">
        <v>45028</v>
      </c>
      <c r="B18">
        <v>0</v>
      </c>
    </row>
    <row r="19" spans="1:5" x14ac:dyDescent="0.25">
      <c r="A19" s="1">
        <v>45029</v>
      </c>
      <c r="B19">
        <v>0</v>
      </c>
      <c r="E19">
        <f>AVERAGE(B13:B19)</f>
        <v>0</v>
      </c>
    </row>
    <row r="20" spans="1:5" x14ac:dyDescent="0.25">
      <c r="A20" s="1">
        <v>45030</v>
      </c>
      <c r="B20">
        <v>0</v>
      </c>
      <c r="E20">
        <f t="shared" ref="E20:E83" si="0">AVERAGE(B14:B20)</f>
        <v>0</v>
      </c>
    </row>
    <row r="21" spans="1:5" x14ac:dyDescent="0.25">
      <c r="A21" s="1">
        <v>45031</v>
      </c>
      <c r="B21">
        <v>0</v>
      </c>
      <c r="E21">
        <f t="shared" si="0"/>
        <v>0</v>
      </c>
    </row>
    <row r="22" spans="1:5" x14ac:dyDescent="0.25">
      <c r="A22" s="1">
        <v>45032</v>
      </c>
      <c r="B22">
        <v>0</v>
      </c>
      <c r="E22">
        <f t="shared" si="0"/>
        <v>0</v>
      </c>
    </row>
    <row r="23" spans="1:5" x14ac:dyDescent="0.25">
      <c r="A23" s="1">
        <v>45033</v>
      </c>
      <c r="B23">
        <v>0</v>
      </c>
      <c r="E23">
        <f t="shared" si="0"/>
        <v>0</v>
      </c>
    </row>
    <row r="24" spans="1:5" x14ac:dyDescent="0.25">
      <c r="A24" s="1">
        <v>45034</v>
      </c>
      <c r="B24">
        <v>0</v>
      </c>
      <c r="E24">
        <f t="shared" si="0"/>
        <v>0</v>
      </c>
    </row>
    <row r="25" spans="1:5" x14ac:dyDescent="0.25">
      <c r="A25" s="1">
        <v>45035</v>
      </c>
      <c r="B25">
        <v>0</v>
      </c>
      <c r="E25">
        <f t="shared" si="0"/>
        <v>0</v>
      </c>
    </row>
    <row r="26" spans="1:5" x14ac:dyDescent="0.25">
      <c r="A26" s="1">
        <v>45036</v>
      </c>
      <c r="B26">
        <v>0</v>
      </c>
      <c r="E26">
        <f t="shared" si="0"/>
        <v>0</v>
      </c>
    </row>
    <row r="27" spans="1:5" x14ac:dyDescent="0.25">
      <c r="A27" s="1">
        <v>45037</v>
      </c>
      <c r="B27">
        <v>0</v>
      </c>
      <c r="E27">
        <f t="shared" si="0"/>
        <v>0</v>
      </c>
    </row>
    <row r="28" spans="1:5" x14ac:dyDescent="0.25">
      <c r="A28" s="1">
        <v>45038</v>
      </c>
      <c r="B28">
        <v>0</v>
      </c>
      <c r="E28">
        <f t="shared" si="0"/>
        <v>0</v>
      </c>
    </row>
    <row r="29" spans="1:5" x14ac:dyDescent="0.25">
      <c r="A29" s="1">
        <v>45039</v>
      </c>
      <c r="B29">
        <v>0</v>
      </c>
      <c r="E29">
        <f t="shared" si="0"/>
        <v>0</v>
      </c>
    </row>
    <row r="30" spans="1:5" x14ac:dyDescent="0.25">
      <c r="A30" s="1">
        <v>45040</v>
      </c>
      <c r="B30">
        <v>0</v>
      </c>
      <c r="E30">
        <f t="shared" si="0"/>
        <v>0</v>
      </c>
    </row>
    <row r="31" spans="1:5" x14ac:dyDescent="0.25">
      <c r="A31" s="1">
        <v>45041</v>
      </c>
      <c r="B31">
        <v>0</v>
      </c>
      <c r="E31">
        <f t="shared" si="0"/>
        <v>0</v>
      </c>
    </row>
    <row r="32" spans="1:5" x14ac:dyDescent="0.25">
      <c r="A32" s="1">
        <v>45042</v>
      </c>
      <c r="B32">
        <v>0</v>
      </c>
      <c r="E32">
        <f t="shared" si="0"/>
        <v>0</v>
      </c>
    </row>
    <row r="33" spans="1:5" x14ac:dyDescent="0.25">
      <c r="A33" s="1">
        <v>45043</v>
      </c>
      <c r="B33">
        <v>0</v>
      </c>
      <c r="E33">
        <f t="shared" si="0"/>
        <v>0</v>
      </c>
    </row>
    <row r="34" spans="1:5" x14ac:dyDescent="0.25">
      <c r="A34" s="1">
        <v>45044</v>
      </c>
      <c r="B34">
        <v>0</v>
      </c>
      <c r="E34">
        <f t="shared" si="0"/>
        <v>0</v>
      </c>
    </row>
    <row r="35" spans="1:5" x14ac:dyDescent="0.25">
      <c r="A35" s="1">
        <v>45045</v>
      </c>
      <c r="B35">
        <v>0</v>
      </c>
      <c r="E35">
        <f t="shared" si="0"/>
        <v>0</v>
      </c>
    </row>
    <row r="36" spans="1:5" x14ac:dyDescent="0.25">
      <c r="A36" s="1">
        <v>45046</v>
      </c>
      <c r="B36">
        <v>0</v>
      </c>
      <c r="E36">
        <f t="shared" si="0"/>
        <v>0</v>
      </c>
    </row>
    <row r="37" spans="1:5" x14ac:dyDescent="0.25">
      <c r="A37" s="1">
        <v>45047</v>
      </c>
      <c r="B37">
        <v>0</v>
      </c>
      <c r="E37">
        <f t="shared" si="0"/>
        <v>0</v>
      </c>
    </row>
    <row r="38" spans="1:5" x14ac:dyDescent="0.25">
      <c r="A38" s="1">
        <v>45048</v>
      </c>
      <c r="B38">
        <v>0</v>
      </c>
      <c r="E38">
        <f t="shared" si="0"/>
        <v>0</v>
      </c>
    </row>
    <row r="39" spans="1:5" x14ac:dyDescent="0.25">
      <c r="A39" s="1">
        <v>45049</v>
      </c>
      <c r="B39">
        <v>0</v>
      </c>
      <c r="E39">
        <f t="shared" si="0"/>
        <v>0</v>
      </c>
    </row>
    <row r="40" spans="1:5" x14ac:dyDescent="0.25">
      <c r="A40" s="1">
        <v>45050</v>
      </c>
      <c r="B40">
        <v>0</v>
      </c>
      <c r="E40">
        <f t="shared" si="0"/>
        <v>0</v>
      </c>
    </row>
    <row r="41" spans="1:5" x14ac:dyDescent="0.25">
      <c r="A41" s="1">
        <v>45051</v>
      </c>
      <c r="B41">
        <v>0</v>
      </c>
      <c r="E41">
        <f t="shared" si="0"/>
        <v>0</v>
      </c>
    </row>
    <row r="42" spans="1:5" x14ac:dyDescent="0.25">
      <c r="A42" s="1">
        <v>45052</v>
      </c>
      <c r="B42">
        <v>0</v>
      </c>
      <c r="E42">
        <f t="shared" si="0"/>
        <v>0</v>
      </c>
    </row>
    <row r="43" spans="1:5" x14ac:dyDescent="0.25">
      <c r="A43" s="1">
        <v>45053</v>
      </c>
      <c r="B43">
        <v>0</v>
      </c>
      <c r="E43">
        <f t="shared" si="0"/>
        <v>0</v>
      </c>
    </row>
    <row r="44" spans="1:5" x14ac:dyDescent="0.25">
      <c r="A44" s="1">
        <v>45054</v>
      </c>
      <c r="B44">
        <v>0</v>
      </c>
      <c r="E44">
        <f t="shared" si="0"/>
        <v>0</v>
      </c>
    </row>
    <row r="45" spans="1:5" x14ac:dyDescent="0.25">
      <c r="A45" s="1">
        <v>45055</v>
      </c>
      <c r="B45">
        <v>0</v>
      </c>
      <c r="E45">
        <f t="shared" si="0"/>
        <v>0</v>
      </c>
    </row>
    <row r="46" spans="1:5" x14ac:dyDescent="0.25">
      <c r="A46" s="1">
        <v>45056</v>
      </c>
      <c r="B46">
        <v>0</v>
      </c>
      <c r="E46">
        <f t="shared" si="0"/>
        <v>0</v>
      </c>
    </row>
    <row r="47" spans="1:5" x14ac:dyDescent="0.25">
      <c r="A47" s="1">
        <v>45057</v>
      </c>
      <c r="B47">
        <v>0</v>
      </c>
      <c r="E47">
        <f t="shared" si="0"/>
        <v>0</v>
      </c>
    </row>
    <row r="48" spans="1:5" x14ac:dyDescent="0.25">
      <c r="A48" s="1">
        <v>45058</v>
      </c>
      <c r="B48">
        <v>0</v>
      </c>
      <c r="E48">
        <f t="shared" si="0"/>
        <v>0</v>
      </c>
    </row>
    <row r="49" spans="1:5" x14ac:dyDescent="0.25">
      <c r="A49" s="1">
        <v>45059</v>
      </c>
      <c r="B49">
        <v>0</v>
      </c>
      <c r="E49">
        <f t="shared" si="0"/>
        <v>0</v>
      </c>
    </row>
    <row r="50" spans="1:5" x14ac:dyDescent="0.25">
      <c r="A50" s="1">
        <v>45060</v>
      </c>
      <c r="B50">
        <v>0</v>
      </c>
      <c r="E50">
        <f t="shared" si="0"/>
        <v>0</v>
      </c>
    </row>
    <row r="51" spans="1:5" x14ac:dyDescent="0.25">
      <c r="A51" s="1">
        <v>45061</v>
      </c>
      <c r="B51">
        <v>0</v>
      </c>
      <c r="E51">
        <f t="shared" si="0"/>
        <v>0</v>
      </c>
    </row>
    <row r="52" spans="1:5" x14ac:dyDescent="0.25">
      <c r="A52" s="1">
        <v>45062</v>
      </c>
      <c r="B52">
        <v>0</v>
      </c>
      <c r="E52">
        <f t="shared" si="0"/>
        <v>0</v>
      </c>
    </row>
    <row r="53" spans="1:5" x14ac:dyDescent="0.25">
      <c r="A53" s="1">
        <v>45063</v>
      </c>
      <c r="B53">
        <v>0</v>
      </c>
      <c r="E53">
        <f t="shared" si="0"/>
        <v>0</v>
      </c>
    </row>
    <row r="54" spans="1:5" x14ac:dyDescent="0.25">
      <c r="A54" s="1">
        <v>45064</v>
      </c>
      <c r="B54">
        <v>0</v>
      </c>
      <c r="E54">
        <f t="shared" si="0"/>
        <v>0</v>
      </c>
    </row>
    <row r="55" spans="1:5" x14ac:dyDescent="0.25">
      <c r="A55" s="1">
        <v>45065</v>
      </c>
      <c r="B55">
        <v>0</v>
      </c>
      <c r="E55">
        <f t="shared" si="0"/>
        <v>0</v>
      </c>
    </row>
    <row r="56" spans="1:5" x14ac:dyDescent="0.25">
      <c r="A56" s="1">
        <v>45066</v>
      </c>
      <c r="B56">
        <v>0</v>
      </c>
      <c r="E56">
        <f t="shared" si="0"/>
        <v>0</v>
      </c>
    </row>
    <row r="57" spans="1:5" x14ac:dyDescent="0.25">
      <c r="A57" s="1">
        <v>45067</v>
      </c>
      <c r="B57">
        <v>0</v>
      </c>
      <c r="E57">
        <f t="shared" si="0"/>
        <v>0</v>
      </c>
    </row>
    <row r="58" spans="1:5" x14ac:dyDescent="0.25">
      <c r="A58" s="1">
        <v>45068</v>
      </c>
      <c r="B58">
        <v>0</v>
      </c>
      <c r="E58">
        <f t="shared" si="0"/>
        <v>0</v>
      </c>
    </row>
    <row r="59" spans="1:5" x14ac:dyDescent="0.25">
      <c r="A59" s="1">
        <v>45069</v>
      </c>
      <c r="B59">
        <v>0</v>
      </c>
      <c r="E59">
        <f t="shared" si="0"/>
        <v>0</v>
      </c>
    </row>
    <row r="60" spans="1:5" x14ac:dyDescent="0.25">
      <c r="A60" s="1">
        <v>45070</v>
      </c>
      <c r="B60">
        <v>0</v>
      </c>
      <c r="E60">
        <f t="shared" si="0"/>
        <v>0</v>
      </c>
    </row>
    <row r="61" spans="1:5" x14ac:dyDescent="0.25">
      <c r="A61" s="1">
        <v>45071</v>
      </c>
      <c r="B61">
        <v>0</v>
      </c>
      <c r="E61">
        <f t="shared" si="0"/>
        <v>0</v>
      </c>
    </row>
    <row r="62" spans="1:5" x14ac:dyDescent="0.25">
      <c r="A62" s="1">
        <v>45072</v>
      </c>
      <c r="B62">
        <v>0</v>
      </c>
      <c r="E62">
        <f t="shared" si="0"/>
        <v>0</v>
      </c>
    </row>
    <row r="63" spans="1:5" x14ac:dyDescent="0.25">
      <c r="A63" s="1">
        <v>45073</v>
      </c>
      <c r="B63">
        <v>0</v>
      </c>
      <c r="E63">
        <f t="shared" si="0"/>
        <v>0</v>
      </c>
    </row>
    <row r="64" spans="1:5" x14ac:dyDescent="0.25">
      <c r="A64" s="1">
        <v>45074</v>
      </c>
      <c r="B64">
        <v>0</v>
      </c>
      <c r="E64">
        <f t="shared" si="0"/>
        <v>0</v>
      </c>
    </row>
    <row r="65" spans="1:5" x14ac:dyDescent="0.25">
      <c r="A65" s="1">
        <v>45075</v>
      </c>
      <c r="B65">
        <v>0</v>
      </c>
      <c r="E65">
        <f t="shared" si="0"/>
        <v>0</v>
      </c>
    </row>
    <row r="66" spans="1:5" x14ac:dyDescent="0.25">
      <c r="A66" s="1">
        <v>45076</v>
      </c>
      <c r="B66">
        <v>0</v>
      </c>
      <c r="E66">
        <f t="shared" si="0"/>
        <v>0</v>
      </c>
    </row>
    <row r="67" spans="1:5" x14ac:dyDescent="0.25">
      <c r="A67" s="1">
        <v>45077</v>
      </c>
      <c r="B67">
        <v>0</v>
      </c>
      <c r="E67">
        <f t="shared" si="0"/>
        <v>0</v>
      </c>
    </row>
    <row r="68" spans="1:5" x14ac:dyDescent="0.25">
      <c r="A68" s="1">
        <v>45078</v>
      </c>
      <c r="B68">
        <v>0</v>
      </c>
      <c r="E68">
        <f t="shared" si="0"/>
        <v>0</v>
      </c>
    </row>
    <row r="69" spans="1:5" x14ac:dyDescent="0.25">
      <c r="A69" s="1">
        <v>45079</v>
      </c>
      <c r="B69">
        <v>0</v>
      </c>
      <c r="E69">
        <f t="shared" si="0"/>
        <v>0</v>
      </c>
    </row>
    <row r="70" spans="1:5" x14ac:dyDescent="0.25">
      <c r="A70" s="1">
        <v>45080</v>
      </c>
      <c r="B70">
        <v>0</v>
      </c>
      <c r="E70">
        <f t="shared" si="0"/>
        <v>0</v>
      </c>
    </row>
    <row r="71" spans="1:5" x14ac:dyDescent="0.25">
      <c r="A71" s="1">
        <v>45081</v>
      </c>
      <c r="B71">
        <v>0</v>
      </c>
      <c r="E71">
        <f t="shared" si="0"/>
        <v>0</v>
      </c>
    </row>
    <row r="72" spans="1:5" x14ac:dyDescent="0.25">
      <c r="A72" s="1">
        <v>45082</v>
      </c>
      <c r="B72">
        <v>0</v>
      </c>
      <c r="E72">
        <f t="shared" si="0"/>
        <v>0</v>
      </c>
    </row>
    <row r="73" spans="1:5" x14ac:dyDescent="0.25">
      <c r="A73" s="1">
        <v>45083</v>
      </c>
      <c r="B73">
        <v>0</v>
      </c>
      <c r="E73">
        <f t="shared" si="0"/>
        <v>0</v>
      </c>
    </row>
    <row r="74" spans="1:5" x14ac:dyDescent="0.25">
      <c r="A74" s="1">
        <v>45084</v>
      </c>
      <c r="B74">
        <v>0</v>
      </c>
      <c r="E74">
        <f t="shared" si="0"/>
        <v>0</v>
      </c>
    </row>
    <row r="75" spans="1:5" x14ac:dyDescent="0.25">
      <c r="A75" s="1">
        <v>45085</v>
      </c>
      <c r="B75">
        <v>0</v>
      </c>
      <c r="E75">
        <f t="shared" si="0"/>
        <v>0</v>
      </c>
    </row>
    <row r="76" spans="1:5" x14ac:dyDescent="0.25">
      <c r="A76" s="1">
        <v>45086</v>
      </c>
      <c r="B76">
        <v>0</v>
      </c>
      <c r="E76">
        <f t="shared" si="0"/>
        <v>0</v>
      </c>
    </row>
    <row r="77" spans="1:5" x14ac:dyDescent="0.25">
      <c r="A77" s="1">
        <v>45087</v>
      </c>
      <c r="B77">
        <v>0</v>
      </c>
      <c r="E77">
        <f t="shared" si="0"/>
        <v>0</v>
      </c>
    </row>
    <row r="78" spans="1:5" x14ac:dyDescent="0.25">
      <c r="A78" s="1">
        <v>45088</v>
      </c>
      <c r="B78">
        <v>0</v>
      </c>
      <c r="E78">
        <f t="shared" si="0"/>
        <v>0</v>
      </c>
    </row>
    <row r="79" spans="1:5" x14ac:dyDescent="0.25">
      <c r="A79" s="1">
        <v>45089</v>
      </c>
      <c r="B79">
        <v>0</v>
      </c>
      <c r="E79">
        <f t="shared" si="0"/>
        <v>0</v>
      </c>
    </row>
    <row r="80" spans="1:5" x14ac:dyDescent="0.25">
      <c r="A80" s="1">
        <v>45090</v>
      </c>
      <c r="B80">
        <v>0</v>
      </c>
      <c r="E80">
        <f t="shared" si="0"/>
        <v>0</v>
      </c>
    </row>
    <row r="81" spans="1:5" x14ac:dyDescent="0.25">
      <c r="A81" s="1">
        <v>45091</v>
      </c>
      <c r="B81">
        <v>0</v>
      </c>
      <c r="E81">
        <f t="shared" si="0"/>
        <v>0</v>
      </c>
    </row>
    <row r="82" spans="1:5" x14ac:dyDescent="0.25">
      <c r="A82" s="1">
        <v>45092</v>
      </c>
      <c r="B82">
        <v>0</v>
      </c>
      <c r="E82">
        <f t="shared" si="0"/>
        <v>0</v>
      </c>
    </row>
    <row r="83" spans="1:5" x14ac:dyDescent="0.25">
      <c r="A83" s="1">
        <v>45093</v>
      </c>
      <c r="B83">
        <v>0</v>
      </c>
      <c r="E83">
        <f t="shared" si="0"/>
        <v>0</v>
      </c>
    </row>
    <row r="84" spans="1:5" x14ac:dyDescent="0.25">
      <c r="A84" s="1">
        <v>45094</v>
      </c>
      <c r="B84">
        <v>2</v>
      </c>
      <c r="E84">
        <f t="shared" ref="E84:E147" si="1">AVERAGE(B78:B84)</f>
        <v>0.2857142857142857</v>
      </c>
    </row>
    <row r="85" spans="1:5" x14ac:dyDescent="0.25">
      <c r="A85" s="1">
        <v>45095</v>
      </c>
      <c r="B85">
        <v>42</v>
      </c>
      <c r="E85">
        <f t="shared" si="1"/>
        <v>6.2857142857142856</v>
      </c>
    </row>
    <row r="86" spans="1:5" x14ac:dyDescent="0.25">
      <c r="A86" s="1">
        <v>45096</v>
      </c>
      <c r="B86">
        <v>60</v>
      </c>
      <c r="E86">
        <f t="shared" si="1"/>
        <v>14.857142857142858</v>
      </c>
    </row>
    <row r="87" spans="1:5" x14ac:dyDescent="0.25">
      <c r="A87" s="1">
        <v>45097</v>
      </c>
      <c r="B87">
        <v>60</v>
      </c>
      <c r="E87">
        <f t="shared" si="1"/>
        <v>23.428571428571427</v>
      </c>
    </row>
    <row r="88" spans="1:5" x14ac:dyDescent="0.25">
      <c r="A88" s="1">
        <v>45098</v>
      </c>
      <c r="B88">
        <v>61</v>
      </c>
      <c r="E88">
        <f t="shared" si="1"/>
        <v>32.142857142857146</v>
      </c>
    </row>
    <row r="89" spans="1:5" x14ac:dyDescent="0.25">
      <c r="A89" s="1">
        <v>45099</v>
      </c>
      <c r="B89">
        <v>69</v>
      </c>
      <c r="E89">
        <f t="shared" si="1"/>
        <v>42</v>
      </c>
    </row>
    <row r="90" spans="1:5" x14ac:dyDescent="0.25">
      <c r="A90" s="1">
        <v>45100</v>
      </c>
      <c r="B90">
        <v>67</v>
      </c>
      <c r="E90">
        <f t="shared" si="1"/>
        <v>51.571428571428569</v>
      </c>
    </row>
    <row r="91" spans="1:5" x14ac:dyDescent="0.25">
      <c r="A91" s="1">
        <v>45101</v>
      </c>
      <c r="B91">
        <v>51</v>
      </c>
      <c r="E91">
        <f t="shared" si="1"/>
        <v>58.571428571428569</v>
      </c>
    </row>
    <row r="92" spans="1:5" x14ac:dyDescent="0.25">
      <c r="A92" s="1">
        <v>45102</v>
      </c>
      <c r="B92">
        <v>56</v>
      </c>
      <c r="E92">
        <f t="shared" si="1"/>
        <v>60.571428571428569</v>
      </c>
    </row>
    <row r="93" spans="1:5" x14ac:dyDescent="0.25">
      <c r="A93" s="1">
        <v>45103</v>
      </c>
      <c r="B93">
        <v>69</v>
      </c>
      <c r="E93">
        <f t="shared" si="1"/>
        <v>61.857142857142854</v>
      </c>
    </row>
    <row r="94" spans="1:5" x14ac:dyDescent="0.25">
      <c r="A94" s="1">
        <v>45104</v>
      </c>
      <c r="B94">
        <v>70</v>
      </c>
      <c r="E94">
        <f t="shared" si="1"/>
        <v>63.285714285714285</v>
      </c>
    </row>
    <row r="95" spans="1:5" x14ac:dyDescent="0.25">
      <c r="A95" s="1">
        <v>45105</v>
      </c>
      <c r="B95">
        <v>69</v>
      </c>
      <c r="E95">
        <f t="shared" si="1"/>
        <v>64.428571428571431</v>
      </c>
    </row>
    <row r="96" spans="1:5" x14ac:dyDescent="0.25">
      <c r="A96" s="1">
        <v>45106</v>
      </c>
      <c r="B96">
        <v>66</v>
      </c>
      <c r="E96">
        <f t="shared" si="1"/>
        <v>64</v>
      </c>
    </row>
    <row r="97" spans="1:5" x14ac:dyDescent="0.25">
      <c r="A97" s="1">
        <v>45107</v>
      </c>
      <c r="B97">
        <v>61</v>
      </c>
      <c r="E97">
        <f t="shared" si="1"/>
        <v>63.142857142857146</v>
      </c>
    </row>
    <row r="98" spans="1:5" x14ac:dyDescent="0.25">
      <c r="A98" s="1">
        <v>45108</v>
      </c>
      <c r="B98">
        <v>49</v>
      </c>
      <c r="E98">
        <f t="shared" si="1"/>
        <v>62.857142857142854</v>
      </c>
    </row>
    <row r="99" spans="1:5" x14ac:dyDescent="0.25">
      <c r="A99" s="1">
        <v>45109</v>
      </c>
      <c r="B99">
        <v>52</v>
      </c>
      <c r="E99">
        <f t="shared" si="1"/>
        <v>62.285714285714285</v>
      </c>
    </row>
    <row r="100" spans="1:5" x14ac:dyDescent="0.25">
      <c r="A100" s="1">
        <v>45110</v>
      </c>
      <c r="B100">
        <v>66</v>
      </c>
      <c r="E100">
        <f t="shared" si="1"/>
        <v>61.857142857142854</v>
      </c>
    </row>
    <row r="101" spans="1:5" x14ac:dyDescent="0.25">
      <c r="A101" s="1">
        <v>45111</v>
      </c>
      <c r="B101">
        <v>67</v>
      </c>
      <c r="E101">
        <f t="shared" si="1"/>
        <v>61.428571428571431</v>
      </c>
    </row>
    <row r="102" spans="1:5" x14ac:dyDescent="0.25">
      <c r="A102" s="1">
        <v>45112</v>
      </c>
      <c r="B102">
        <v>65</v>
      </c>
      <c r="E102">
        <f t="shared" si="1"/>
        <v>60.857142857142854</v>
      </c>
    </row>
    <row r="103" spans="1:5" x14ac:dyDescent="0.25">
      <c r="A103" s="1">
        <v>45113</v>
      </c>
      <c r="B103">
        <v>68</v>
      </c>
      <c r="E103">
        <f t="shared" si="1"/>
        <v>61.142857142857146</v>
      </c>
    </row>
    <row r="104" spans="1:5" x14ac:dyDescent="0.25">
      <c r="A104" s="1">
        <v>45114</v>
      </c>
      <c r="B104">
        <v>59</v>
      </c>
      <c r="E104">
        <f t="shared" si="1"/>
        <v>60.857142857142854</v>
      </c>
    </row>
    <row r="105" spans="1:5" x14ac:dyDescent="0.25">
      <c r="A105" s="1">
        <v>45115</v>
      </c>
      <c r="B105">
        <v>49</v>
      </c>
      <c r="E105">
        <f t="shared" si="1"/>
        <v>60.857142857142854</v>
      </c>
    </row>
    <row r="106" spans="1:5" x14ac:dyDescent="0.25">
      <c r="A106" s="1">
        <v>45116</v>
      </c>
      <c r="B106">
        <v>50</v>
      </c>
      <c r="E106">
        <f t="shared" si="1"/>
        <v>60.571428571428569</v>
      </c>
    </row>
    <row r="107" spans="1:5" x14ac:dyDescent="0.25">
      <c r="A107" s="1">
        <v>45117</v>
      </c>
      <c r="B107">
        <v>67</v>
      </c>
      <c r="E107">
        <f t="shared" si="1"/>
        <v>60.714285714285715</v>
      </c>
    </row>
    <row r="108" spans="1:5" x14ac:dyDescent="0.25">
      <c r="A108" s="1">
        <v>45118</v>
      </c>
      <c r="B108">
        <v>79</v>
      </c>
      <c r="E108">
        <f t="shared" si="1"/>
        <v>62.428571428571431</v>
      </c>
    </row>
    <row r="109" spans="1:5" x14ac:dyDescent="0.25">
      <c r="A109" s="1">
        <v>45119</v>
      </c>
      <c r="B109">
        <v>71</v>
      </c>
      <c r="E109">
        <f t="shared" si="1"/>
        <v>63.285714285714285</v>
      </c>
    </row>
    <row r="110" spans="1:5" x14ac:dyDescent="0.25">
      <c r="A110" s="1">
        <v>45120</v>
      </c>
      <c r="B110">
        <v>67</v>
      </c>
      <c r="E110">
        <f t="shared" si="1"/>
        <v>63.142857142857146</v>
      </c>
    </row>
    <row r="111" spans="1:5" x14ac:dyDescent="0.25">
      <c r="A111" s="1">
        <v>45121</v>
      </c>
      <c r="B111">
        <v>58</v>
      </c>
      <c r="E111">
        <f t="shared" si="1"/>
        <v>63</v>
      </c>
    </row>
    <row r="112" spans="1:5" x14ac:dyDescent="0.25">
      <c r="A112" s="1">
        <v>45122</v>
      </c>
      <c r="B112">
        <v>46</v>
      </c>
      <c r="E112">
        <f t="shared" si="1"/>
        <v>62.571428571428569</v>
      </c>
    </row>
    <row r="113" spans="1:5" x14ac:dyDescent="0.25">
      <c r="A113" s="1">
        <v>45123</v>
      </c>
      <c r="B113">
        <v>45</v>
      </c>
      <c r="E113">
        <f t="shared" si="1"/>
        <v>61.857142857142854</v>
      </c>
    </row>
    <row r="114" spans="1:5" x14ac:dyDescent="0.25">
      <c r="A114" s="1">
        <v>45124</v>
      </c>
      <c r="B114">
        <v>61</v>
      </c>
      <c r="E114">
        <f t="shared" si="1"/>
        <v>61</v>
      </c>
    </row>
    <row r="115" spans="1:5" x14ac:dyDescent="0.25">
      <c r="A115" s="1">
        <v>45125</v>
      </c>
      <c r="B115">
        <v>61</v>
      </c>
      <c r="E115">
        <f t="shared" si="1"/>
        <v>58.428571428571431</v>
      </c>
    </row>
    <row r="116" spans="1:5" x14ac:dyDescent="0.25">
      <c r="A116" s="1">
        <v>45126</v>
      </c>
      <c r="B116">
        <v>65</v>
      </c>
      <c r="E116">
        <f t="shared" si="1"/>
        <v>57.571428571428569</v>
      </c>
    </row>
    <row r="117" spans="1:5" x14ac:dyDescent="0.25">
      <c r="A117" s="1">
        <v>45127</v>
      </c>
      <c r="B117">
        <v>62</v>
      </c>
      <c r="E117">
        <f t="shared" si="1"/>
        <v>56.857142857142854</v>
      </c>
    </row>
    <row r="118" spans="1:5" x14ac:dyDescent="0.25">
      <c r="A118" s="1">
        <v>45128</v>
      </c>
      <c r="B118">
        <v>57</v>
      </c>
      <c r="E118">
        <f t="shared" si="1"/>
        <v>56.714285714285715</v>
      </c>
    </row>
    <row r="119" spans="1:5" x14ac:dyDescent="0.25">
      <c r="A119" s="1">
        <v>45129</v>
      </c>
      <c r="B119">
        <v>42</v>
      </c>
      <c r="E119">
        <f t="shared" si="1"/>
        <v>56.142857142857146</v>
      </c>
    </row>
    <row r="120" spans="1:5" x14ac:dyDescent="0.25">
      <c r="A120" s="1">
        <v>45130</v>
      </c>
      <c r="B120">
        <v>47</v>
      </c>
      <c r="E120">
        <f t="shared" si="1"/>
        <v>56.428571428571431</v>
      </c>
    </row>
    <row r="121" spans="1:5" x14ac:dyDescent="0.25">
      <c r="A121" s="1">
        <v>45131</v>
      </c>
      <c r="B121">
        <v>60</v>
      </c>
      <c r="E121">
        <f t="shared" si="1"/>
        <v>56.285714285714285</v>
      </c>
    </row>
    <row r="122" spans="1:5" x14ac:dyDescent="0.25">
      <c r="A122" s="1">
        <v>45132</v>
      </c>
      <c r="B122">
        <v>62</v>
      </c>
      <c r="E122">
        <f t="shared" si="1"/>
        <v>56.428571428571431</v>
      </c>
    </row>
    <row r="123" spans="1:5" x14ac:dyDescent="0.25">
      <c r="A123" s="1">
        <v>45133</v>
      </c>
      <c r="B123">
        <v>61</v>
      </c>
      <c r="E123">
        <f t="shared" si="1"/>
        <v>55.857142857142854</v>
      </c>
    </row>
    <row r="124" spans="1:5" x14ac:dyDescent="0.25">
      <c r="A124" s="1">
        <v>45134</v>
      </c>
      <c r="B124">
        <v>59</v>
      </c>
      <c r="E124">
        <f t="shared" si="1"/>
        <v>55.428571428571431</v>
      </c>
    </row>
    <row r="125" spans="1:5" x14ac:dyDescent="0.25">
      <c r="A125" s="1">
        <v>45135</v>
      </c>
      <c r="B125">
        <v>52</v>
      </c>
      <c r="E125">
        <f t="shared" si="1"/>
        <v>54.714285714285715</v>
      </c>
    </row>
    <row r="126" spans="1:5" x14ac:dyDescent="0.25">
      <c r="A126" s="1">
        <v>45136</v>
      </c>
      <c r="B126">
        <v>43</v>
      </c>
      <c r="E126">
        <f t="shared" si="1"/>
        <v>54.857142857142854</v>
      </c>
    </row>
    <row r="127" spans="1:5" x14ac:dyDescent="0.25">
      <c r="A127" s="1">
        <v>45137</v>
      </c>
      <c r="B127">
        <v>44</v>
      </c>
      <c r="E127">
        <f t="shared" si="1"/>
        <v>54.428571428571431</v>
      </c>
    </row>
    <row r="128" spans="1:5" x14ac:dyDescent="0.25">
      <c r="A128" s="1">
        <v>45138</v>
      </c>
      <c r="B128">
        <v>57</v>
      </c>
      <c r="E128">
        <f t="shared" si="1"/>
        <v>54</v>
      </c>
    </row>
    <row r="129" spans="1:5" x14ac:dyDescent="0.25">
      <c r="A129" s="1">
        <v>45139</v>
      </c>
      <c r="B129">
        <v>59</v>
      </c>
      <c r="E129">
        <f t="shared" si="1"/>
        <v>53.571428571428569</v>
      </c>
    </row>
    <row r="130" spans="1:5" x14ac:dyDescent="0.25">
      <c r="A130" s="1">
        <v>45140</v>
      </c>
      <c r="B130">
        <v>62</v>
      </c>
      <c r="E130">
        <f t="shared" si="1"/>
        <v>53.714285714285715</v>
      </c>
    </row>
    <row r="131" spans="1:5" x14ac:dyDescent="0.25">
      <c r="A131" s="1">
        <v>45141</v>
      </c>
      <c r="B131">
        <v>61</v>
      </c>
      <c r="E131">
        <f t="shared" si="1"/>
        <v>54</v>
      </c>
    </row>
    <row r="132" spans="1:5" x14ac:dyDescent="0.25">
      <c r="A132" s="1">
        <v>45142</v>
      </c>
      <c r="B132">
        <v>56</v>
      </c>
      <c r="E132">
        <f t="shared" si="1"/>
        <v>54.571428571428569</v>
      </c>
    </row>
    <row r="133" spans="1:5" x14ac:dyDescent="0.25">
      <c r="A133" s="1">
        <v>45143</v>
      </c>
      <c r="B133">
        <v>41</v>
      </c>
      <c r="E133">
        <f t="shared" si="1"/>
        <v>54.285714285714285</v>
      </c>
    </row>
    <row r="134" spans="1:5" x14ac:dyDescent="0.25">
      <c r="A134" s="1">
        <v>45144</v>
      </c>
      <c r="B134">
        <v>46</v>
      </c>
      <c r="E134">
        <f t="shared" si="1"/>
        <v>54.571428571428569</v>
      </c>
    </row>
    <row r="135" spans="1:5" x14ac:dyDescent="0.25">
      <c r="A135" s="1">
        <v>45145</v>
      </c>
      <c r="B135">
        <v>60</v>
      </c>
      <c r="E135">
        <f t="shared" si="1"/>
        <v>55</v>
      </c>
    </row>
    <row r="136" spans="1:5" x14ac:dyDescent="0.25">
      <c r="A136" s="1">
        <v>45146</v>
      </c>
      <c r="B136">
        <v>61</v>
      </c>
      <c r="E136">
        <f t="shared" si="1"/>
        <v>55.285714285714285</v>
      </c>
    </row>
    <row r="137" spans="1:5" x14ac:dyDescent="0.25">
      <c r="A137" s="1">
        <v>45147</v>
      </c>
      <c r="B137">
        <v>62</v>
      </c>
      <c r="E137">
        <f t="shared" si="1"/>
        <v>55.285714285714285</v>
      </c>
    </row>
    <row r="138" spans="1:5" x14ac:dyDescent="0.25">
      <c r="A138" s="1">
        <v>45148</v>
      </c>
      <c r="B138">
        <v>61</v>
      </c>
      <c r="E138">
        <f t="shared" si="1"/>
        <v>55.285714285714285</v>
      </c>
    </row>
    <row r="139" spans="1:5" x14ac:dyDescent="0.25">
      <c r="A139" s="1">
        <v>45149</v>
      </c>
      <c r="B139">
        <v>55</v>
      </c>
      <c r="E139">
        <f t="shared" si="1"/>
        <v>55.142857142857146</v>
      </c>
    </row>
    <row r="140" spans="1:5" x14ac:dyDescent="0.25">
      <c r="A140" s="1">
        <v>45150</v>
      </c>
      <c r="B140">
        <v>42</v>
      </c>
      <c r="E140">
        <f t="shared" si="1"/>
        <v>55.285714285714285</v>
      </c>
    </row>
    <row r="141" spans="1:5" x14ac:dyDescent="0.25">
      <c r="A141" s="1">
        <v>45151</v>
      </c>
      <c r="B141">
        <v>44</v>
      </c>
      <c r="E141">
        <f t="shared" si="1"/>
        <v>55</v>
      </c>
    </row>
    <row r="142" spans="1:5" x14ac:dyDescent="0.25">
      <c r="A142" s="1">
        <v>45152</v>
      </c>
      <c r="B142">
        <v>59</v>
      </c>
      <c r="E142">
        <f t="shared" si="1"/>
        <v>54.857142857142854</v>
      </c>
    </row>
    <row r="143" spans="1:5" x14ac:dyDescent="0.25">
      <c r="A143" s="1">
        <v>45153</v>
      </c>
      <c r="B143">
        <v>56</v>
      </c>
      <c r="E143">
        <f t="shared" si="1"/>
        <v>54.142857142857146</v>
      </c>
    </row>
    <row r="144" spans="1:5" x14ac:dyDescent="0.25">
      <c r="A144" s="1">
        <v>45154</v>
      </c>
      <c r="B144">
        <v>65</v>
      </c>
      <c r="E144">
        <f t="shared" si="1"/>
        <v>54.571428571428569</v>
      </c>
    </row>
    <row r="145" spans="1:5" x14ac:dyDescent="0.25">
      <c r="A145" s="1">
        <v>45155</v>
      </c>
      <c r="B145">
        <v>63</v>
      </c>
      <c r="E145">
        <f t="shared" si="1"/>
        <v>54.857142857142854</v>
      </c>
    </row>
    <row r="146" spans="1:5" x14ac:dyDescent="0.25">
      <c r="A146" s="1">
        <v>45156</v>
      </c>
      <c r="B146">
        <v>59</v>
      </c>
      <c r="E146">
        <f t="shared" si="1"/>
        <v>55.428571428571431</v>
      </c>
    </row>
    <row r="147" spans="1:5" x14ac:dyDescent="0.25">
      <c r="A147" s="1">
        <v>45157</v>
      </c>
      <c r="B147">
        <v>44</v>
      </c>
      <c r="E147">
        <f t="shared" si="1"/>
        <v>55.714285714285715</v>
      </c>
    </row>
    <row r="148" spans="1:5" x14ac:dyDescent="0.25">
      <c r="A148" s="1">
        <v>45158</v>
      </c>
      <c r="B148">
        <v>46</v>
      </c>
      <c r="E148">
        <f t="shared" ref="E148:E211" si="2">AVERAGE(B142:B148)</f>
        <v>56</v>
      </c>
    </row>
    <row r="149" spans="1:5" x14ac:dyDescent="0.25">
      <c r="A149" s="1">
        <v>45159</v>
      </c>
      <c r="B149">
        <v>62</v>
      </c>
      <c r="E149">
        <f t="shared" si="2"/>
        <v>56.428571428571431</v>
      </c>
    </row>
    <row r="150" spans="1:5" x14ac:dyDescent="0.25">
      <c r="A150" s="1">
        <v>45160</v>
      </c>
      <c r="B150">
        <v>67</v>
      </c>
      <c r="E150">
        <f t="shared" si="2"/>
        <v>58</v>
      </c>
    </row>
    <row r="151" spans="1:5" x14ac:dyDescent="0.25">
      <c r="A151" s="1">
        <v>45161</v>
      </c>
      <c r="B151">
        <v>71</v>
      </c>
      <c r="E151">
        <f t="shared" si="2"/>
        <v>58.857142857142854</v>
      </c>
    </row>
    <row r="152" spans="1:5" x14ac:dyDescent="0.25">
      <c r="A152" s="1">
        <v>45162</v>
      </c>
      <c r="B152">
        <v>67</v>
      </c>
      <c r="E152">
        <f t="shared" si="2"/>
        <v>59.428571428571431</v>
      </c>
    </row>
    <row r="153" spans="1:5" x14ac:dyDescent="0.25">
      <c r="A153" s="1">
        <v>45163</v>
      </c>
      <c r="B153">
        <v>63</v>
      </c>
      <c r="E153">
        <f t="shared" si="2"/>
        <v>60</v>
      </c>
    </row>
    <row r="154" spans="1:5" x14ac:dyDescent="0.25">
      <c r="A154" s="1">
        <v>45164</v>
      </c>
      <c r="B154">
        <v>46</v>
      </c>
      <c r="E154">
        <f t="shared" si="2"/>
        <v>60.285714285714285</v>
      </c>
    </row>
    <row r="155" spans="1:5" x14ac:dyDescent="0.25">
      <c r="A155" s="1">
        <v>45165</v>
      </c>
      <c r="B155">
        <v>52</v>
      </c>
      <c r="E155">
        <f t="shared" si="2"/>
        <v>61.142857142857146</v>
      </c>
    </row>
    <row r="156" spans="1:5" x14ac:dyDescent="0.25">
      <c r="A156" s="1">
        <v>45166</v>
      </c>
      <c r="B156">
        <v>72</v>
      </c>
      <c r="E156">
        <f t="shared" si="2"/>
        <v>62.571428571428569</v>
      </c>
    </row>
    <row r="157" spans="1:5" x14ac:dyDescent="0.25">
      <c r="A157" s="1">
        <v>45167</v>
      </c>
      <c r="B157">
        <v>78</v>
      </c>
      <c r="E157">
        <f t="shared" si="2"/>
        <v>64.142857142857139</v>
      </c>
    </row>
    <row r="158" spans="1:5" x14ac:dyDescent="0.25">
      <c r="A158" s="1">
        <v>45168</v>
      </c>
      <c r="B158">
        <v>69</v>
      </c>
      <c r="E158">
        <f t="shared" si="2"/>
        <v>63.857142857142854</v>
      </c>
    </row>
    <row r="159" spans="1:5" x14ac:dyDescent="0.25">
      <c r="A159" s="1">
        <v>45169</v>
      </c>
      <c r="B159">
        <v>80</v>
      </c>
      <c r="E159">
        <f t="shared" si="2"/>
        <v>65.714285714285708</v>
      </c>
    </row>
    <row r="160" spans="1:5" x14ac:dyDescent="0.25">
      <c r="A160" s="1">
        <v>45170</v>
      </c>
      <c r="B160">
        <v>61</v>
      </c>
      <c r="E160">
        <f t="shared" si="2"/>
        <v>65.428571428571431</v>
      </c>
    </row>
    <row r="161" spans="1:5" x14ac:dyDescent="0.25">
      <c r="A161" s="1">
        <v>45171</v>
      </c>
      <c r="B161">
        <v>45</v>
      </c>
      <c r="E161">
        <f t="shared" si="2"/>
        <v>65.285714285714292</v>
      </c>
    </row>
    <row r="162" spans="1:5" x14ac:dyDescent="0.25">
      <c r="A162" s="1">
        <v>45172</v>
      </c>
      <c r="B162">
        <v>51</v>
      </c>
      <c r="E162">
        <f t="shared" si="2"/>
        <v>65.142857142857139</v>
      </c>
    </row>
    <row r="163" spans="1:5" x14ac:dyDescent="0.25">
      <c r="A163" s="1">
        <v>45173</v>
      </c>
      <c r="B163">
        <v>69</v>
      </c>
      <c r="E163">
        <f t="shared" si="2"/>
        <v>64.714285714285708</v>
      </c>
    </row>
    <row r="164" spans="1:5" x14ac:dyDescent="0.25">
      <c r="A164" s="1">
        <v>45174</v>
      </c>
      <c r="B164">
        <v>74</v>
      </c>
      <c r="E164">
        <f t="shared" si="2"/>
        <v>64.142857142857139</v>
      </c>
    </row>
    <row r="165" spans="1:5" x14ac:dyDescent="0.25">
      <c r="A165" s="1">
        <v>45175</v>
      </c>
      <c r="B165">
        <v>74</v>
      </c>
      <c r="E165">
        <f t="shared" si="2"/>
        <v>64.857142857142861</v>
      </c>
    </row>
    <row r="166" spans="1:5" x14ac:dyDescent="0.25">
      <c r="A166" s="1">
        <v>45176</v>
      </c>
      <c r="B166">
        <v>75</v>
      </c>
      <c r="E166">
        <f t="shared" si="2"/>
        <v>64.142857142857139</v>
      </c>
    </row>
    <row r="167" spans="1:5" x14ac:dyDescent="0.25">
      <c r="A167" s="1">
        <v>45177</v>
      </c>
      <c r="B167">
        <v>66</v>
      </c>
      <c r="E167">
        <f t="shared" si="2"/>
        <v>64.857142857142861</v>
      </c>
    </row>
    <row r="168" spans="1:5" x14ac:dyDescent="0.25">
      <c r="A168" s="1">
        <v>45178</v>
      </c>
      <c r="B168">
        <v>52</v>
      </c>
      <c r="E168">
        <f t="shared" si="2"/>
        <v>65.857142857142861</v>
      </c>
    </row>
    <row r="169" spans="1:5" x14ac:dyDescent="0.25">
      <c r="A169" s="1">
        <v>45179</v>
      </c>
      <c r="B169">
        <v>56</v>
      </c>
      <c r="E169">
        <f t="shared" si="2"/>
        <v>66.571428571428569</v>
      </c>
    </row>
    <row r="170" spans="1:5" x14ac:dyDescent="0.25">
      <c r="A170" s="1">
        <v>45180</v>
      </c>
      <c r="B170">
        <v>78</v>
      </c>
      <c r="E170">
        <f t="shared" si="2"/>
        <v>67.857142857142861</v>
      </c>
    </row>
    <row r="171" spans="1:5" x14ac:dyDescent="0.25">
      <c r="A171" s="1">
        <v>45181</v>
      </c>
      <c r="B171">
        <v>85</v>
      </c>
      <c r="E171">
        <f t="shared" si="2"/>
        <v>69.428571428571431</v>
      </c>
    </row>
    <row r="172" spans="1:5" x14ac:dyDescent="0.25">
      <c r="A172" s="1">
        <v>45182</v>
      </c>
      <c r="B172">
        <v>90</v>
      </c>
      <c r="E172">
        <f t="shared" si="2"/>
        <v>71.714285714285708</v>
      </c>
    </row>
    <row r="173" spans="1:5" x14ac:dyDescent="0.25">
      <c r="A173" s="1">
        <v>45183</v>
      </c>
      <c r="B173">
        <v>84</v>
      </c>
      <c r="E173">
        <f t="shared" si="2"/>
        <v>73</v>
      </c>
    </row>
    <row r="174" spans="1:5" x14ac:dyDescent="0.25">
      <c r="A174" s="1">
        <v>45184</v>
      </c>
      <c r="B174">
        <v>72</v>
      </c>
      <c r="E174">
        <f t="shared" si="2"/>
        <v>73.857142857142861</v>
      </c>
    </row>
    <row r="175" spans="1:5" x14ac:dyDescent="0.25">
      <c r="A175" s="1">
        <v>45185</v>
      </c>
      <c r="B175">
        <v>51</v>
      </c>
      <c r="E175">
        <f t="shared" si="2"/>
        <v>73.714285714285708</v>
      </c>
    </row>
    <row r="176" spans="1:5" x14ac:dyDescent="0.25">
      <c r="A176" s="1">
        <v>45186</v>
      </c>
      <c r="B176">
        <v>61</v>
      </c>
      <c r="E176">
        <f t="shared" si="2"/>
        <v>74.428571428571431</v>
      </c>
    </row>
    <row r="177" spans="1:5" x14ac:dyDescent="0.25">
      <c r="A177" s="1">
        <v>45187</v>
      </c>
      <c r="B177">
        <v>81</v>
      </c>
      <c r="E177">
        <f t="shared" si="2"/>
        <v>74.857142857142861</v>
      </c>
    </row>
    <row r="178" spans="1:5" x14ac:dyDescent="0.25">
      <c r="A178" s="1">
        <v>45188</v>
      </c>
      <c r="B178">
        <v>85</v>
      </c>
      <c r="E178">
        <f t="shared" si="2"/>
        <v>74.857142857142861</v>
      </c>
    </row>
    <row r="179" spans="1:5" x14ac:dyDescent="0.25">
      <c r="A179" s="1">
        <v>45189</v>
      </c>
      <c r="B179">
        <v>90</v>
      </c>
      <c r="E179">
        <f t="shared" si="2"/>
        <v>74.857142857142861</v>
      </c>
    </row>
    <row r="180" spans="1:5" x14ac:dyDescent="0.25">
      <c r="A180" s="1">
        <v>45190</v>
      </c>
      <c r="B180">
        <v>83</v>
      </c>
      <c r="E180">
        <f t="shared" si="2"/>
        <v>74.714285714285708</v>
      </c>
    </row>
    <row r="181" spans="1:5" x14ac:dyDescent="0.25">
      <c r="A181" s="1">
        <v>45191</v>
      </c>
      <c r="B181">
        <v>69</v>
      </c>
      <c r="E181">
        <f t="shared" si="2"/>
        <v>74.285714285714292</v>
      </c>
    </row>
    <row r="182" spans="1:5" x14ac:dyDescent="0.25">
      <c r="A182" s="1">
        <v>45192</v>
      </c>
      <c r="B182">
        <v>58</v>
      </c>
      <c r="E182">
        <f t="shared" si="2"/>
        <v>75.285714285714292</v>
      </c>
    </row>
    <row r="183" spans="1:5" x14ac:dyDescent="0.25">
      <c r="A183" s="1">
        <v>45193</v>
      </c>
      <c r="B183">
        <v>62</v>
      </c>
      <c r="E183">
        <f t="shared" si="2"/>
        <v>75.428571428571431</v>
      </c>
    </row>
    <row r="184" spans="1:5" x14ac:dyDescent="0.25">
      <c r="A184" s="1">
        <v>45194</v>
      </c>
      <c r="B184">
        <v>87</v>
      </c>
      <c r="E184">
        <f t="shared" si="2"/>
        <v>76.285714285714292</v>
      </c>
    </row>
    <row r="185" spans="1:5" x14ac:dyDescent="0.25">
      <c r="A185" s="1">
        <v>45195</v>
      </c>
      <c r="B185">
        <v>95</v>
      </c>
      <c r="E185">
        <f t="shared" si="2"/>
        <v>77.714285714285708</v>
      </c>
    </row>
    <row r="186" spans="1:5" x14ac:dyDescent="0.25">
      <c r="A186" s="1">
        <v>45196</v>
      </c>
      <c r="B186">
        <v>91</v>
      </c>
      <c r="E186">
        <f t="shared" si="2"/>
        <v>77.857142857142861</v>
      </c>
    </row>
    <row r="187" spans="1:5" x14ac:dyDescent="0.25">
      <c r="A187" s="1">
        <v>45197</v>
      </c>
      <c r="B187">
        <v>86</v>
      </c>
      <c r="E187">
        <f t="shared" si="2"/>
        <v>78.285714285714292</v>
      </c>
    </row>
    <row r="188" spans="1:5" x14ac:dyDescent="0.25">
      <c r="A188" s="1">
        <v>45198</v>
      </c>
      <c r="B188">
        <v>74</v>
      </c>
      <c r="E188">
        <f t="shared" si="2"/>
        <v>79</v>
      </c>
    </row>
    <row r="189" spans="1:5" x14ac:dyDescent="0.25">
      <c r="A189" s="1">
        <v>45199</v>
      </c>
      <c r="B189">
        <v>56</v>
      </c>
      <c r="E189">
        <f t="shared" si="2"/>
        <v>78.714285714285708</v>
      </c>
    </row>
    <row r="190" spans="1:5" x14ac:dyDescent="0.25">
      <c r="A190" s="1">
        <v>45200</v>
      </c>
      <c r="B190">
        <v>62</v>
      </c>
      <c r="E190">
        <f t="shared" si="2"/>
        <v>78.714285714285708</v>
      </c>
    </row>
    <row r="191" spans="1:5" x14ac:dyDescent="0.25">
      <c r="A191" s="1">
        <v>45201</v>
      </c>
      <c r="B191">
        <v>84</v>
      </c>
      <c r="E191">
        <f t="shared" si="2"/>
        <v>78.285714285714292</v>
      </c>
    </row>
    <row r="192" spans="1:5" x14ac:dyDescent="0.25">
      <c r="A192" s="1">
        <v>45202</v>
      </c>
      <c r="B192">
        <v>89</v>
      </c>
      <c r="E192">
        <f t="shared" si="2"/>
        <v>77.428571428571431</v>
      </c>
    </row>
    <row r="193" spans="1:5" x14ac:dyDescent="0.25">
      <c r="A193" s="1">
        <v>45203</v>
      </c>
      <c r="B193">
        <v>92</v>
      </c>
      <c r="E193">
        <f t="shared" si="2"/>
        <v>77.571428571428569</v>
      </c>
    </row>
    <row r="194" spans="1:5" x14ac:dyDescent="0.25">
      <c r="A194" s="1">
        <v>45204</v>
      </c>
      <c r="B194">
        <v>87</v>
      </c>
      <c r="E194">
        <f t="shared" si="2"/>
        <v>77.714285714285708</v>
      </c>
    </row>
    <row r="195" spans="1:5" x14ac:dyDescent="0.25">
      <c r="A195" s="1">
        <v>45205</v>
      </c>
      <c r="B195">
        <v>75</v>
      </c>
      <c r="E195">
        <f t="shared" si="2"/>
        <v>77.857142857142861</v>
      </c>
    </row>
    <row r="196" spans="1:5" x14ac:dyDescent="0.25">
      <c r="A196" s="1">
        <v>45206</v>
      </c>
      <c r="B196">
        <v>57</v>
      </c>
      <c r="E196">
        <f t="shared" si="2"/>
        <v>78</v>
      </c>
    </row>
    <row r="197" spans="1:5" x14ac:dyDescent="0.25">
      <c r="A197" s="1">
        <v>45207</v>
      </c>
      <c r="B197">
        <v>67</v>
      </c>
      <c r="E197">
        <f t="shared" si="2"/>
        <v>78.714285714285708</v>
      </c>
    </row>
    <row r="198" spans="1:5" x14ac:dyDescent="0.25">
      <c r="A198" s="1">
        <v>45208</v>
      </c>
      <c r="B198">
        <v>91</v>
      </c>
      <c r="E198">
        <f t="shared" si="2"/>
        <v>79.714285714285708</v>
      </c>
    </row>
    <row r="199" spans="1:5" x14ac:dyDescent="0.25">
      <c r="A199" s="1">
        <v>45209</v>
      </c>
      <c r="B199">
        <v>88</v>
      </c>
      <c r="E199">
        <f t="shared" si="2"/>
        <v>79.571428571428569</v>
      </c>
    </row>
    <row r="200" spans="1:5" x14ac:dyDescent="0.25">
      <c r="A200" s="1">
        <v>45210</v>
      </c>
      <c r="B200">
        <v>93</v>
      </c>
      <c r="E200">
        <f t="shared" si="2"/>
        <v>79.714285714285708</v>
      </c>
    </row>
    <row r="201" spans="1:5" x14ac:dyDescent="0.25">
      <c r="A201" s="1">
        <v>45211</v>
      </c>
      <c r="B201">
        <v>91</v>
      </c>
      <c r="E201">
        <f t="shared" si="2"/>
        <v>80.285714285714292</v>
      </c>
    </row>
    <row r="202" spans="1:5" x14ac:dyDescent="0.25">
      <c r="A202" s="1">
        <v>45212</v>
      </c>
      <c r="B202">
        <v>78</v>
      </c>
      <c r="E202">
        <f t="shared" si="2"/>
        <v>80.714285714285708</v>
      </c>
    </row>
    <row r="203" spans="1:5" x14ac:dyDescent="0.25">
      <c r="A203" s="1">
        <v>45213</v>
      </c>
      <c r="B203">
        <v>60</v>
      </c>
      <c r="E203">
        <f t="shared" si="2"/>
        <v>81.142857142857139</v>
      </c>
    </row>
    <row r="204" spans="1:5" x14ac:dyDescent="0.25">
      <c r="A204" s="1">
        <v>45214</v>
      </c>
      <c r="B204">
        <v>65</v>
      </c>
      <c r="E204">
        <f t="shared" si="2"/>
        <v>80.857142857142861</v>
      </c>
    </row>
    <row r="205" spans="1:5" x14ac:dyDescent="0.25">
      <c r="A205" s="1">
        <v>45215</v>
      </c>
      <c r="B205">
        <v>92</v>
      </c>
      <c r="E205">
        <f t="shared" si="2"/>
        <v>81</v>
      </c>
    </row>
    <row r="206" spans="1:5" x14ac:dyDescent="0.25">
      <c r="A206" s="1">
        <v>45216</v>
      </c>
      <c r="B206">
        <v>95</v>
      </c>
      <c r="E206">
        <f t="shared" si="2"/>
        <v>82</v>
      </c>
    </row>
    <row r="207" spans="1:5" x14ac:dyDescent="0.25">
      <c r="A207" s="1">
        <v>45217</v>
      </c>
      <c r="B207">
        <v>99</v>
      </c>
      <c r="E207">
        <f t="shared" si="2"/>
        <v>82.857142857142861</v>
      </c>
    </row>
    <row r="208" spans="1:5" x14ac:dyDescent="0.25">
      <c r="A208" s="1">
        <v>45218</v>
      </c>
      <c r="B208">
        <v>96</v>
      </c>
      <c r="E208">
        <f t="shared" si="2"/>
        <v>83.571428571428569</v>
      </c>
    </row>
    <row r="209" spans="1:5" x14ac:dyDescent="0.25">
      <c r="A209" s="1">
        <v>45219</v>
      </c>
      <c r="B209">
        <v>80</v>
      </c>
      <c r="E209">
        <f t="shared" si="2"/>
        <v>83.857142857142861</v>
      </c>
    </row>
    <row r="210" spans="1:5" x14ac:dyDescent="0.25">
      <c r="A210" s="1">
        <v>45220</v>
      </c>
      <c r="B210">
        <v>59</v>
      </c>
      <c r="E210">
        <f t="shared" si="2"/>
        <v>83.714285714285708</v>
      </c>
    </row>
    <row r="211" spans="1:5" x14ac:dyDescent="0.25">
      <c r="A211" s="1">
        <v>45221</v>
      </c>
      <c r="B211">
        <v>65</v>
      </c>
      <c r="E211">
        <f t="shared" si="2"/>
        <v>83.714285714285708</v>
      </c>
    </row>
    <row r="212" spans="1:5" x14ac:dyDescent="0.25">
      <c r="A212" s="1">
        <v>45222</v>
      </c>
      <c r="B212">
        <v>91</v>
      </c>
      <c r="E212">
        <f t="shared" ref="E212:E275" si="3">AVERAGE(B206:B212)</f>
        <v>83.571428571428569</v>
      </c>
    </row>
    <row r="213" spans="1:5" x14ac:dyDescent="0.25">
      <c r="A213" s="1">
        <v>45223</v>
      </c>
      <c r="B213">
        <v>94</v>
      </c>
      <c r="E213">
        <f t="shared" si="3"/>
        <v>83.428571428571431</v>
      </c>
    </row>
    <row r="214" spans="1:5" x14ac:dyDescent="0.25">
      <c r="A214" s="1">
        <v>45224</v>
      </c>
      <c r="B214">
        <v>100</v>
      </c>
      <c r="E214">
        <f t="shared" si="3"/>
        <v>83.571428571428569</v>
      </c>
    </row>
    <row r="215" spans="1:5" x14ac:dyDescent="0.25">
      <c r="A215" s="1">
        <v>45225</v>
      </c>
      <c r="B215">
        <v>96</v>
      </c>
      <c r="E215">
        <f t="shared" si="3"/>
        <v>83.571428571428569</v>
      </c>
    </row>
    <row r="216" spans="1:5" x14ac:dyDescent="0.25">
      <c r="A216" s="1">
        <v>45226</v>
      </c>
      <c r="B216">
        <v>82</v>
      </c>
      <c r="E216">
        <f t="shared" si="3"/>
        <v>83.857142857142861</v>
      </c>
    </row>
    <row r="217" spans="1:5" x14ac:dyDescent="0.25">
      <c r="A217" s="1">
        <v>45227</v>
      </c>
      <c r="B217">
        <f>39*(82/55)</f>
        <v>58.145454545454548</v>
      </c>
      <c r="E217">
        <f t="shared" si="3"/>
        <v>83.735064935064926</v>
      </c>
    </row>
    <row r="218" spans="1:5" x14ac:dyDescent="0.25">
      <c r="A218" s="1">
        <v>45228</v>
      </c>
      <c r="B218">
        <f>43*(82/55)</f>
        <v>64.109090909090909</v>
      </c>
      <c r="E218">
        <f t="shared" si="3"/>
        <v>83.607792207792201</v>
      </c>
    </row>
    <row r="219" spans="1:5" x14ac:dyDescent="0.25">
      <c r="A219" s="1">
        <v>45229</v>
      </c>
      <c r="B219">
        <f>62*(82/55)</f>
        <v>92.436363636363637</v>
      </c>
      <c r="E219">
        <f t="shared" si="3"/>
        <v>83.812987012987023</v>
      </c>
    </row>
    <row r="220" spans="1:5" x14ac:dyDescent="0.25">
      <c r="A220" s="1">
        <v>45230</v>
      </c>
      <c r="B220">
        <f>63*(82/55)</f>
        <v>93.927272727272737</v>
      </c>
      <c r="E220">
        <f t="shared" si="3"/>
        <v>83.802597402597399</v>
      </c>
    </row>
    <row r="221" spans="1:5" x14ac:dyDescent="0.25">
      <c r="A221" s="1">
        <v>45231</v>
      </c>
      <c r="B221">
        <f>57*(82/55)</f>
        <v>84.981818181818184</v>
      </c>
      <c r="E221">
        <f t="shared" si="3"/>
        <v>81.657142857142858</v>
      </c>
    </row>
    <row r="222" spans="1:5" x14ac:dyDescent="0.25">
      <c r="A222" s="1">
        <v>45232</v>
      </c>
      <c r="B222">
        <f>60*(82/55)</f>
        <v>89.454545454545453</v>
      </c>
      <c r="E222">
        <f t="shared" si="3"/>
        <v>80.722077922077929</v>
      </c>
    </row>
    <row r="223" spans="1:5" x14ac:dyDescent="0.25">
      <c r="A223" s="1">
        <v>45233</v>
      </c>
      <c r="B223">
        <f>49*(82/55)</f>
        <v>73.054545454545462</v>
      </c>
      <c r="E223">
        <f t="shared" si="3"/>
        <v>79.444155844155844</v>
      </c>
    </row>
    <row r="224" spans="1:5" x14ac:dyDescent="0.25">
      <c r="A224" s="1">
        <v>45234</v>
      </c>
      <c r="B224">
        <f>39*(82/55)</f>
        <v>58.145454545454548</v>
      </c>
      <c r="E224">
        <f t="shared" si="3"/>
        <v>79.444155844155844</v>
      </c>
    </row>
    <row r="225" spans="1:5" x14ac:dyDescent="0.25">
      <c r="A225" s="1">
        <v>45235</v>
      </c>
      <c r="B225">
        <f>46*(82/55)</f>
        <v>68.581818181818178</v>
      </c>
      <c r="E225">
        <f t="shared" si="3"/>
        <v>80.083116883116887</v>
      </c>
    </row>
    <row r="226" spans="1:5" x14ac:dyDescent="0.25">
      <c r="A226" s="1">
        <v>45236</v>
      </c>
      <c r="B226">
        <f>64*(82/55)</f>
        <v>95.418181818181822</v>
      </c>
      <c r="E226">
        <f t="shared" si="3"/>
        <v>80.509090909090901</v>
      </c>
    </row>
    <row r="227" spans="1:5" x14ac:dyDescent="0.25">
      <c r="A227" s="1">
        <v>45237</v>
      </c>
      <c r="B227">
        <f>67*(82/55)</f>
        <v>99.890909090909091</v>
      </c>
      <c r="E227">
        <f t="shared" si="3"/>
        <v>81.361038961038957</v>
      </c>
    </row>
    <row r="228" spans="1:5" x14ac:dyDescent="0.25">
      <c r="A228" s="1">
        <v>45238</v>
      </c>
      <c r="B228">
        <f>76*(82/55)</f>
        <v>113.30909090909091</v>
      </c>
      <c r="E228">
        <f t="shared" si="3"/>
        <v>85.407792207792212</v>
      </c>
    </row>
    <row r="229" spans="1:5" x14ac:dyDescent="0.25">
      <c r="A229" s="1">
        <v>45239</v>
      </c>
      <c r="B229">
        <f>75*(82/55)</f>
        <v>111.81818181818183</v>
      </c>
      <c r="E229">
        <f t="shared" si="3"/>
        <v>88.602597402597411</v>
      </c>
    </row>
    <row r="230" spans="1:5" x14ac:dyDescent="0.25">
      <c r="A230" s="1">
        <v>45240</v>
      </c>
      <c r="B230">
        <f>55*(82/55)</f>
        <v>82</v>
      </c>
      <c r="E230">
        <f t="shared" si="3"/>
        <v>89.880519480519482</v>
      </c>
    </row>
    <row r="231" spans="1:5" x14ac:dyDescent="0.25">
      <c r="A231" s="1">
        <v>45241</v>
      </c>
      <c r="B231">
        <f>39*(82/55)</f>
        <v>58.145454545454548</v>
      </c>
      <c r="E231">
        <f t="shared" si="3"/>
        <v>89.880519480519482</v>
      </c>
    </row>
    <row r="232" spans="1:5" x14ac:dyDescent="0.25">
      <c r="A232" s="1">
        <v>45242</v>
      </c>
      <c r="B232">
        <f>47*(82/55)</f>
        <v>70.072727272727278</v>
      </c>
      <c r="E232">
        <f t="shared" si="3"/>
        <v>90.09350649350651</v>
      </c>
    </row>
    <row r="233" spans="1:5" x14ac:dyDescent="0.25">
      <c r="A233" s="1">
        <v>45243</v>
      </c>
      <c r="B233">
        <f>63*(82/55)</f>
        <v>93.927272727272737</v>
      </c>
      <c r="E233">
        <f t="shared" si="3"/>
        <v>89.880519480519496</v>
      </c>
    </row>
    <row r="234" spans="1:5" x14ac:dyDescent="0.25">
      <c r="A234" s="1">
        <v>45244</v>
      </c>
      <c r="B234">
        <f>68*(82/55)</f>
        <v>101.38181818181819</v>
      </c>
      <c r="E234">
        <f t="shared" si="3"/>
        <v>90.093506493506496</v>
      </c>
    </row>
    <row r="235" spans="1:5" x14ac:dyDescent="0.25">
      <c r="A235" s="1">
        <v>45245</v>
      </c>
      <c r="B235">
        <f>65*(82/55)</f>
        <v>96.909090909090907</v>
      </c>
      <c r="E235">
        <f t="shared" si="3"/>
        <v>87.750649350649354</v>
      </c>
    </row>
    <row r="236" spans="1:5" x14ac:dyDescent="0.25">
      <c r="A236" s="1">
        <v>45246</v>
      </c>
      <c r="B236">
        <f>65*(82/55)</f>
        <v>96.909090909090907</v>
      </c>
      <c r="E236">
        <f t="shared" si="3"/>
        <v>85.620779220779227</v>
      </c>
    </row>
    <row r="237" spans="1:5" x14ac:dyDescent="0.25">
      <c r="A237" s="1">
        <v>45247</v>
      </c>
      <c r="B237">
        <f>58*(82/55)</f>
        <v>86.472727272727269</v>
      </c>
      <c r="E237">
        <f t="shared" si="3"/>
        <v>86.259740259740269</v>
      </c>
    </row>
    <row r="238" spans="1:5" x14ac:dyDescent="0.25">
      <c r="A238" s="1">
        <v>45248</v>
      </c>
      <c r="B238">
        <f>43*(82/55)</f>
        <v>64.109090909090909</v>
      </c>
      <c r="E238">
        <f t="shared" si="3"/>
        <v>87.111688311688312</v>
      </c>
    </row>
    <row r="239" spans="1:5" x14ac:dyDescent="0.25">
      <c r="A239" s="1">
        <v>45249</v>
      </c>
      <c r="B239">
        <f>45*(82/55)</f>
        <v>67.090909090909093</v>
      </c>
      <c r="E239">
        <f t="shared" si="3"/>
        <v>86.685714285714297</v>
      </c>
    </row>
    <row r="240" spans="1:5" x14ac:dyDescent="0.25">
      <c r="A240" s="1">
        <v>45250</v>
      </c>
      <c r="B240">
        <f>65*(82/55)</f>
        <v>96.909090909090907</v>
      </c>
      <c r="E240">
        <f t="shared" si="3"/>
        <v>87.111688311688326</v>
      </c>
    </row>
    <row r="241" spans="1:5" x14ac:dyDescent="0.25">
      <c r="A241" s="1">
        <v>45251</v>
      </c>
      <c r="B241">
        <f>69*(82/55)</f>
        <v>102.87272727272727</v>
      </c>
      <c r="E241">
        <f t="shared" si="3"/>
        <v>87.324675324675326</v>
      </c>
    </row>
    <row r="242" spans="1:5" x14ac:dyDescent="0.25">
      <c r="A242" s="1">
        <v>45252</v>
      </c>
      <c r="B242">
        <f>69*(82/55)</f>
        <v>102.87272727272727</v>
      </c>
      <c r="E242">
        <f t="shared" si="3"/>
        <v>88.176623376623382</v>
      </c>
    </row>
    <row r="243" spans="1:5" x14ac:dyDescent="0.25">
      <c r="A243" s="1">
        <v>45253</v>
      </c>
      <c r="B243">
        <f>63*(82/55)</f>
        <v>93.927272727272737</v>
      </c>
      <c r="E243">
        <f t="shared" si="3"/>
        <v>87.750649350649354</v>
      </c>
    </row>
    <row r="244" spans="1:5" x14ac:dyDescent="0.25">
      <c r="A244" s="1">
        <v>45254</v>
      </c>
      <c r="B244">
        <f>54*(82/55)</f>
        <v>80.509090909090915</v>
      </c>
      <c r="E244">
        <f t="shared" si="3"/>
        <v>86.898701298701297</v>
      </c>
    </row>
    <row r="245" spans="1:5" x14ac:dyDescent="0.25">
      <c r="A245" s="1">
        <v>45255</v>
      </c>
      <c r="B245">
        <f>41*(82/55)</f>
        <v>61.127272727272732</v>
      </c>
      <c r="E245">
        <f t="shared" si="3"/>
        <v>86.472727272727283</v>
      </c>
    </row>
    <row r="246" spans="1:5" x14ac:dyDescent="0.25">
      <c r="A246" s="1">
        <v>45256</v>
      </c>
      <c r="B246">
        <f>47*(82/55)</f>
        <v>70.072727272727278</v>
      </c>
      <c r="E246">
        <f t="shared" si="3"/>
        <v>86.898701298701312</v>
      </c>
    </row>
    <row r="247" spans="1:5" x14ac:dyDescent="0.25">
      <c r="A247" s="1">
        <v>45257</v>
      </c>
      <c r="B247">
        <f>65*(82/55)</f>
        <v>96.909090909090907</v>
      </c>
      <c r="E247">
        <f t="shared" si="3"/>
        <v>86.898701298701297</v>
      </c>
    </row>
    <row r="248" spans="1:5" x14ac:dyDescent="0.25">
      <c r="A248" s="1">
        <v>45258</v>
      </c>
      <c r="B248">
        <f>71*(82/55)</f>
        <v>105.85454545454546</v>
      </c>
      <c r="E248">
        <f t="shared" si="3"/>
        <v>87.324675324675326</v>
      </c>
    </row>
    <row r="249" spans="1:5" x14ac:dyDescent="0.25">
      <c r="A249" s="1">
        <v>45259</v>
      </c>
      <c r="B249">
        <f>69*(82/55)</f>
        <v>102.87272727272727</v>
      </c>
      <c r="E249">
        <f t="shared" si="3"/>
        <v>87.324675324675326</v>
      </c>
    </row>
    <row r="250" spans="1:5" x14ac:dyDescent="0.25">
      <c r="A250" s="1">
        <v>45260</v>
      </c>
      <c r="B250">
        <f>71*(82/55)</f>
        <v>105.85454545454546</v>
      </c>
      <c r="E250">
        <f t="shared" si="3"/>
        <v>89.028571428571439</v>
      </c>
    </row>
    <row r="251" spans="1:5" x14ac:dyDescent="0.25">
      <c r="A251" s="1">
        <v>45261</v>
      </c>
      <c r="B251">
        <f>59*(82/55)</f>
        <v>87.963636363636368</v>
      </c>
      <c r="E251">
        <f t="shared" si="3"/>
        <v>90.09350649350651</v>
      </c>
    </row>
    <row r="252" spans="1:5" x14ac:dyDescent="0.25">
      <c r="A252" s="1">
        <v>45262</v>
      </c>
      <c r="B252">
        <f>47*(82/55)</f>
        <v>70.072727272727278</v>
      </c>
      <c r="E252">
        <f t="shared" si="3"/>
        <v>91.371428571428595</v>
      </c>
    </row>
    <row r="253" spans="1:5" x14ac:dyDescent="0.25">
      <c r="A253" s="1">
        <v>45263</v>
      </c>
      <c r="B253">
        <f>53*(82/55)</f>
        <v>79.018181818181816</v>
      </c>
      <c r="E253">
        <f t="shared" si="3"/>
        <v>92.649350649350666</v>
      </c>
    </row>
    <row r="254" spans="1:5" x14ac:dyDescent="0.25">
      <c r="A254" s="1">
        <v>45264</v>
      </c>
      <c r="B254">
        <f>68*(82/55)</f>
        <v>101.38181818181819</v>
      </c>
      <c r="E254">
        <f t="shared" si="3"/>
        <v>93.288311688311708</v>
      </c>
    </row>
    <row r="255" spans="1:5" x14ac:dyDescent="0.25">
      <c r="A255" s="1">
        <v>45265</v>
      </c>
      <c r="B255">
        <f>69*(82/55)</f>
        <v>102.87272727272727</v>
      </c>
      <c r="E255">
        <f t="shared" si="3"/>
        <v>92.86233766233768</v>
      </c>
    </row>
    <row r="256" spans="1:5" x14ac:dyDescent="0.25">
      <c r="A256" s="1">
        <v>45266</v>
      </c>
      <c r="B256">
        <f>70*(82/55)</f>
        <v>104.36363636363637</v>
      </c>
      <c r="E256">
        <f t="shared" si="3"/>
        <v>93.075324675324666</v>
      </c>
    </row>
    <row r="257" spans="1:5" x14ac:dyDescent="0.25">
      <c r="A257" s="1">
        <v>45267</v>
      </c>
      <c r="B257">
        <f>65*(82/55)</f>
        <v>96.909090909090907</v>
      </c>
      <c r="E257">
        <f t="shared" si="3"/>
        <v>91.797402597402609</v>
      </c>
    </row>
    <row r="258" spans="1:5" x14ac:dyDescent="0.25">
      <c r="A258" s="1">
        <v>45268</v>
      </c>
      <c r="B258">
        <f>60*(82/55)</f>
        <v>89.454545454545453</v>
      </c>
      <c r="E258">
        <f t="shared" si="3"/>
        <v>92.010389610389623</v>
      </c>
    </row>
    <row r="259" spans="1:5" x14ac:dyDescent="0.25">
      <c r="A259" s="1">
        <v>45269</v>
      </c>
      <c r="B259">
        <f>46*(82/55)</f>
        <v>68.581818181818178</v>
      </c>
      <c r="E259">
        <f t="shared" si="3"/>
        <v>91.797402597402609</v>
      </c>
    </row>
    <row r="260" spans="1:5" x14ac:dyDescent="0.25">
      <c r="A260" s="1">
        <v>45270</v>
      </c>
      <c r="B260">
        <f>54*(82/55)</f>
        <v>80.509090909090915</v>
      </c>
      <c r="E260">
        <f t="shared" si="3"/>
        <v>92.010389610389595</v>
      </c>
    </row>
    <row r="261" spans="1:5" x14ac:dyDescent="0.25">
      <c r="A261" s="1">
        <v>45271</v>
      </c>
      <c r="B261">
        <f>74*(82/55)</f>
        <v>110.32727272727273</v>
      </c>
      <c r="E261">
        <f t="shared" si="3"/>
        <v>93.28831168831168</v>
      </c>
    </row>
    <row r="262" spans="1:5" x14ac:dyDescent="0.25">
      <c r="A262" s="1">
        <v>45272</v>
      </c>
      <c r="B262">
        <f>68*(82/55)</f>
        <v>101.38181818181819</v>
      </c>
      <c r="E262">
        <f t="shared" si="3"/>
        <v>93.075324675324666</v>
      </c>
    </row>
    <row r="263" spans="1:5" x14ac:dyDescent="0.25">
      <c r="A263" s="1">
        <v>45273</v>
      </c>
      <c r="B263">
        <f>69*(82/55)</f>
        <v>102.87272727272727</v>
      </c>
      <c r="E263">
        <f t="shared" si="3"/>
        <v>92.862337662337652</v>
      </c>
    </row>
    <row r="264" spans="1:5" x14ac:dyDescent="0.25">
      <c r="A264" s="1">
        <v>45274</v>
      </c>
      <c r="B264">
        <f>62*(82/55)</f>
        <v>92.436363636363637</v>
      </c>
      <c r="E264">
        <f t="shared" si="3"/>
        <v>92.223376623376609</v>
      </c>
    </row>
    <row r="265" spans="1:5" x14ac:dyDescent="0.25">
      <c r="A265" s="1">
        <v>45275</v>
      </c>
      <c r="B265">
        <f>54*(82/55)</f>
        <v>80.509090909090915</v>
      </c>
      <c r="E265">
        <f t="shared" si="3"/>
        <v>90.945454545454552</v>
      </c>
    </row>
    <row r="266" spans="1:5" x14ac:dyDescent="0.25">
      <c r="A266" s="1">
        <v>45276</v>
      </c>
      <c r="B266">
        <f>39*(82/55)</f>
        <v>58.145454545454548</v>
      </c>
      <c r="E266">
        <f t="shared" si="3"/>
        <v>89.454545454545467</v>
      </c>
    </row>
    <row r="267" spans="1:5" x14ac:dyDescent="0.25">
      <c r="A267" s="1">
        <v>45277</v>
      </c>
      <c r="B267">
        <f>43*(82/55)</f>
        <v>64.109090909090909</v>
      </c>
      <c r="E267">
        <f t="shared" si="3"/>
        <v>87.111688311688326</v>
      </c>
    </row>
    <row r="268" spans="1:5" x14ac:dyDescent="0.25">
      <c r="A268" s="1">
        <v>45278</v>
      </c>
      <c r="B268">
        <f>56*(82/55)</f>
        <v>83.490909090909099</v>
      </c>
      <c r="E268">
        <f t="shared" si="3"/>
        <v>83.277922077922085</v>
      </c>
    </row>
    <row r="269" spans="1:5" x14ac:dyDescent="0.25">
      <c r="A269" s="1">
        <v>45279</v>
      </c>
      <c r="B269">
        <f>57*(82/55)</f>
        <v>84.981818181818184</v>
      </c>
      <c r="E269">
        <f t="shared" si="3"/>
        <v>80.935064935064929</v>
      </c>
    </row>
    <row r="270" spans="1:5" x14ac:dyDescent="0.25">
      <c r="A270" s="1">
        <v>45280</v>
      </c>
      <c r="B270">
        <f>54*(82/55)</f>
        <v>80.509090909090915</v>
      </c>
      <c r="E270">
        <f t="shared" si="3"/>
        <v>77.740259740259745</v>
      </c>
    </row>
    <row r="271" spans="1:5" x14ac:dyDescent="0.25">
      <c r="A271" s="1">
        <v>45281</v>
      </c>
      <c r="B271">
        <f>52*(82/55)</f>
        <v>77.527272727272731</v>
      </c>
      <c r="E271">
        <f t="shared" si="3"/>
        <v>75.610389610389603</v>
      </c>
    </row>
    <row r="272" spans="1:5" x14ac:dyDescent="0.25">
      <c r="A272" s="1">
        <v>45282</v>
      </c>
      <c r="B272">
        <f>42*(82/55)</f>
        <v>62.618181818181817</v>
      </c>
      <c r="E272">
        <f t="shared" si="3"/>
        <v>73.054545454545448</v>
      </c>
    </row>
    <row r="273" spans="1:5" x14ac:dyDescent="0.25">
      <c r="A273" s="1">
        <v>45283</v>
      </c>
      <c r="B273">
        <f>32*(82/55)</f>
        <v>47.709090909090911</v>
      </c>
      <c r="E273">
        <f t="shared" si="3"/>
        <v>71.563636363636363</v>
      </c>
    </row>
    <row r="274" spans="1:5" x14ac:dyDescent="0.25">
      <c r="A274" s="1">
        <v>45284</v>
      </c>
      <c r="B274">
        <f>33*(82/55)</f>
        <v>49.2</v>
      </c>
      <c r="E274">
        <f t="shared" si="3"/>
        <v>69.433766233766235</v>
      </c>
    </row>
    <row r="275" spans="1:5" x14ac:dyDescent="0.25">
      <c r="A275" s="1">
        <v>45285</v>
      </c>
      <c r="B275">
        <f>34*(82/55)</f>
        <v>50.690909090909095</v>
      </c>
      <c r="E275">
        <f t="shared" si="3"/>
        <v>64.748051948051938</v>
      </c>
    </row>
    <row r="276" spans="1:5" x14ac:dyDescent="0.25">
      <c r="A276" s="1">
        <v>45286</v>
      </c>
      <c r="B276">
        <f>37*(82/55)</f>
        <v>55.163636363636364</v>
      </c>
      <c r="E276">
        <f t="shared" ref="E276:E339" si="4">AVERAGE(B270:B276)</f>
        <v>60.48831168831169</v>
      </c>
    </row>
    <row r="277" spans="1:5" x14ac:dyDescent="0.25">
      <c r="A277" s="1">
        <v>45287</v>
      </c>
      <c r="B277">
        <f>40*(82/55)</f>
        <v>59.63636363636364</v>
      </c>
      <c r="E277">
        <f t="shared" si="4"/>
        <v>57.506493506493506</v>
      </c>
    </row>
    <row r="278" spans="1:5" x14ac:dyDescent="0.25">
      <c r="A278" s="1">
        <v>45288</v>
      </c>
      <c r="B278">
        <f>39*(82/55)</f>
        <v>58.145454545454548</v>
      </c>
      <c r="E278">
        <f t="shared" si="4"/>
        <v>54.737662337662336</v>
      </c>
    </row>
    <row r="279" spans="1:5" x14ac:dyDescent="0.25">
      <c r="A279" s="1">
        <v>45289</v>
      </c>
      <c r="B279">
        <f>38*(82/55)</f>
        <v>56.654545454545456</v>
      </c>
      <c r="E279">
        <f t="shared" si="4"/>
        <v>53.885714285714279</v>
      </c>
    </row>
    <row r="280" spans="1:5" x14ac:dyDescent="0.25">
      <c r="A280" s="1">
        <v>45290</v>
      </c>
      <c r="B280">
        <f>31*(82/55)</f>
        <v>46.218181818181819</v>
      </c>
      <c r="E280">
        <f t="shared" si="4"/>
        <v>53.672727272727279</v>
      </c>
    </row>
    <row r="281" spans="1:5" x14ac:dyDescent="0.25">
      <c r="A281" s="1">
        <v>45291</v>
      </c>
      <c r="B281">
        <f>32*(82/55)</f>
        <v>47.709090909090911</v>
      </c>
      <c r="E281">
        <f t="shared" si="4"/>
        <v>53.459740259740258</v>
      </c>
    </row>
    <row r="282" spans="1:5" x14ac:dyDescent="0.25">
      <c r="A282" s="1">
        <v>45292</v>
      </c>
      <c r="B282">
        <f>33*(82/55)</f>
        <v>49.2</v>
      </c>
      <c r="E282">
        <f t="shared" si="4"/>
        <v>53.246753246753251</v>
      </c>
    </row>
    <row r="283" spans="1:5" x14ac:dyDescent="0.25">
      <c r="A283" s="1">
        <v>45293</v>
      </c>
      <c r="B283">
        <f>42*(82/55)</f>
        <v>62.618181818181817</v>
      </c>
      <c r="E283">
        <f t="shared" si="4"/>
        <v>54.311688311688314</v>
      </c>
    </row>
    <row r="284" spans="1:5" x14ac:dyDescent="0.25">
      <c r="A284" s="1">
        <v>45294</v>
      </c>
      <c r="B284">
        <f>48*(82/55)</f>
        <v>71.563636363636363</v>
      </c>
      <c r="E284">
        <f t="shared" si="4"/>
        <v>56.015584415584421</v>
      </c>
    </row>
    <row r="285" spans="1:5" x14ac:dyDescent="0.25">
      <c r="A285" s="1">
        <v>45295</v>
      </c>
      <c r="B285">
        <f>50*(82/55)</f>
        <v>74.545454545454547</v>
      </c>
      <c r="E285">
        <f t="shared" si="4"/>
        <v>58.358441558441562</v>
      </c>
    </row>
    <row r="286" spans="1:5" x14ac:dyDescent="0.25">
      <c r="A286" s="1">
        <v>45296</v>
      </c>
      <c r="B286">
        <f>45*(82/55)</f>
        <v>67.090909090909093</v>
      </c>
      <c r="E286">
        <f t="shared" si="4"/>
        <v>59.849350649350654</v>
      </c>
    </row>
    <row r="287" spans="1:5" x14ac:dyDescent="0.25">
      <c r="A287" s="1">
        <v>45297</v>
      </c>
      <c r="B287">
        <f>36*(82/55)</f>
        <v>53.672727272727272</v>
      </c>
      <c r="E287">
        <f t="shared" si="4"/>
        <v>60.914285714285718</v>
      </c>
    </row>
    <row r="288" spans="1:5" x14ac:dyDescent="0.25">
      <c r="A288" s="1">
        <v>45298</v>
      </c>
      <c r="B288">
        <f>43*(82/55)</f>
        <v>64.109090909090909</v>
      </c>
      <c r="E288">
        <f t="shared" si="4"/>
        <v>63.25714285714286</v>
      </c>
    </row>
    <row r="289" spans="1:5" x14ac:dyDescent="0.25">
      <c r="A289" s="1">
        <v>45299</v>
      </c>
      <c r="B289">
        <f>56*(82/55)</f>
        <v>83.490909090909099</v>
      </c>
      <c r="E289">
        <f t="shared" si="4"/>
        <v>68.155844155844164</v>
      </c>
    </row>
    <row r="290" spans="1:5" x14ac:dyDescent="0.25">
      <c r="A290" s="1">
        <v>45300</v>
      </c>
      <c r="B290">
        <f>58*(82/55)</f>
        <v>86.472727272727269</v>
      </c>
      <c r="E290">
        <f t="shared" si="4"/>
        <v>71.563636363636377</v>
      </c>
    </row>
    <row r="291" spans="1:5" x14ac:dyDescent="0.25">
      <c r="A291" s="1">
        <v>45301</v>
      </c>
      <c r="B291">
        <f>59*(82/55)</f>
        <v>87.963636363636368</v>
      </c>
      <c r="E291">
        <f t="shared" si="4"/>
        <v>73.906493506493504</v>
      </c>
    </row>
    <row r="292" spans="1:5" x14ac:dyDescent="0.25">
      <c r="A292" s="1">
        <v>45302</v>
      </c>
      <c r="B292">
        <f>67*(82/55)</f>
        <v>99.890909090909091</v>
      </c>
      <c r="E292">
        <f t="shared" si="4"/>
        <v>77.527272727272731</v>
      </c>
    </row>
    <row r="293" spans="1:5" x14ac:dyDescent="0.25">
      <c r="A293" s="1">
        <v>45303</v>
      </c>
      <c r="B293">
        <f>54*(82/55)</f>
        <v>80.509090909090915</v>
      </c>
      <c r="E293">
        <f t="shared" si="4"/>
        <v>79.444155844155844</v>
      </c>
    </row>
    <row r="294" spans="1:5" x14ac:dyDescent="0.25">
      <c r="A294" s="1">
        <v>45304</v>
      </c>
      <c r="B294">
        <f>37*(82/55)</f>
        <v>55.163636363636364</v>
      </c>
      <c r="E294">
        <f t="shared" si="4"/>
        <v>79.657142857142858</v>
      </c>
    </row>
    <row r="295" spans="1:5" x14ac:dyDescent="0.25">
      <c r="A295" s="1">
        <v>45305</v>
      </c>
      <c r="B295">
        <f>40*(82/55)</f>
        <v>59.63636363636364</v>
      </c>
      <c r="E295">
        <f t="shared" si="4"/>
        <v>79.018181818181816</v>
      </c>
    </row>
    <row r="296" spans="1:5" x14ac:dyDescent="0.25">
      <c r="A296" s="1">
        <v>45306</v>
      </c>
      <c r="B296">
        <f>55*(82/55)</f>
        <v>82</v>
      </c>
      <c r="E296">
        <f t="shared" si="4"/>
        <v>78.805194805194802</v>
      </c>
    </row>
    <row r="297" spans="1:5" x14ac:dyDescent="0.25">
      <c r="A297" s="1">
        <v>45307</v>
      </c>
      <c r="B297">
        <f>62*(82/55)</f>
        <v>92.436363636363637</v>
      </c>
      <c r="E297">
        <f t="shared" si="4"/>
        <v>79.657142857142858</v>
      </c>
    </row>
    <row r="298" spans="1:5" x14ac:dyDescent="0.25">
      <c r="A298" s="1">
        <v>45308</v>
      </c>
      <c r="B298">
        <f>63*(82/55)</f>
        <v>93.927272727272737</v>
      </c>
      <c r="E298">
        <f t="shared" si="4"/>
        <v>80.509090909090901</v>
      </c>
    </row>
    <row r="299" spans="1:5" x14ac:dyDescent="0.25">
      <c r="A299" s="1">
        <v>45309</v>
      </c>
      <c r="B299">
        <f>60*(82/55)</f>
        <v>89.454545454545453</v>
      </c>
      <c r="E299">
        <f t="shared" si="4"/>
        <v>79.018181818181816</v>
      </c>
    </row>
    <row r="300" spans="1:5" x14ac:dyDescent="0.25">
      <c r="A300" s="1">
        <v>45310</v>
      </c>
      <c r="B300">
        <f>54*(82/55)</f>
        <v>80.509090909090915</v>
      </c>
      <c r="E300">
        <f t="shared" si="4"/>
        <v>79.018181818181816</v>
      </c>
    </row>
    <row r="301" spans="1:5" x14ac:dyDescent="0.25">
      <c r="A301" s="1">
        <v>45311</v>
      </c>
      <c r="B301">
        <f>38*(82/55)</f>
        <v>56.654545454545456</v>
      </c>
      <c r="E301">
        <f t="shared" si="4"/>
        <v>79.23116883116883</v>
      </c>
    </row>
    <row r="302" spans="1:5" x14ac:dyDescent="0.25">
      <c r="A302" s="1">
        <v>45312</v>
      </c>
      <c r="B302">
        <f>45*(82/55)</f>
        <v>67.090909090909093</v>
      </c>
      <c r="E302">
        <f t="shared" si="4"/>
        <v>80.296103896103901</v>
      </c>
    </row>
    <row r="303" spans="1:5" x14ac:dyDescent="0.25">
      <c r="A303" s="1">
        <v>45313</v>
      </c>
      <c r="B303">
        <f>57*(82/55)</f>
        <v>84.981818181818184</v>
      </c>
      <c r="E303">
        <f t="shared" si="4"/>
        <v>80.722077922077929</v>
      </c>
    </row>
    <row r="304" spans="1:5" x14ac:dyDescent="0.25">
      <c r="A304" s="1">
        <v>45314</v>
      </c>
      <c r="B304">
        <f>59*(82/55)</f>
        <v>87.963636363636368</v>
      </c>
      <c r="E304">
        <f t="shared" si="4"/>
        <v>80.083116883116887</v>
      </c>
    </row>
    <row r="305" spans="1:5" x14ac:dyDescent="0.25">
      <c r="A305" s="1">
        <v>45315</v>
      </c>
      <c r="B305">
        <f>60*(82/55)</f>
        <v>89.454545454545453</v>
      </c>
      <c r="E305">
        <f t="shared" si="4"/>
        <v>79.444155844155858</v>
      </c>
    </row>
    <row r="306" spans="1:5" x14ac:dyDescent="0.25">
      <c r="A306" s="1">
        <v>45316</v>
      </c>
      <c r="B306">
        <f>59*(82/55)</f>
        <v>87.963636363636368</v>
      </c>
      <c r="E306">
        <f t="shared" si="4"/>
        <v>79.23116883116883</v>
      </c>
    </row>
    <row r="307" spans="1:5" x14ac:dyDescent="0.25">
      <c r="A307" s="1">
        <v>45317</v>
      </c>
      <c r="B307">
        <f>51*(82/55)</f>
        <v>76.036363636363646</v>
      </c>
      <c r="E307">
        <f t="shared" si="4"/>
        <v>78.592207792207788</v>
      </c>
    </row>
    <row r="308" spans="1:5" x14ac:dyDescent="0.25">
      <c r="A308" s="1">
        <v>45318</v>
      </c>
      <c r="B308">
        <f>38*(82/55)</f>
        <v>56.654545454545456</v>
      </c>
      <c r="E308">
        <f t="shared" si="4"/>
        <v>78.592207792207802</v>
      </c>
    </row>
    <row r="309" spans="1:5" x14ac:dyDescent="0.25">
      <c r="A309" s="1">
        <v>45319</v>
      </c>
      <c r="B309">
        <f>43*(82/55)</f>
        <v>64.109090909090909</v>
      </c>
      <c r="E309">
        <f t="shared" si="4"/>
        <v>78.166233766233773</v>
      </c>
    </row>
    <row r="310" spans="1:5" x14ac:dyDescent="0.25">
      <c r="A310" s="1">
        <v>45320</v>
      </c>
      <c r="B310">
        <f>61*(82/55)</f>
        <v>90.945454545454552</v>
      </c>
      <c r="E310">
        <f t="shared" si="4"/>
        <v>79.01818181818183</v>
      </c>
    </row>
    <row r="311" spans="1:5" x14ac:dyDescent="0.25">
      <c r="A311" s="1">
        <v>45321</v>
      </c>
      <c r="B311">
        <f>63*(82/55)</f>
        <v>93.927272727272737</v>
      </c>
      <c r="E311">
        <f t="shared" si="4"/>
        <v>79.870129870129873</v>
      </c>
    </row>
    <row r="312" spans="1:5" x14ac:dyDescent="0.25">
      <c r="A312" s="1">
        <v>45322</v>
      </c>
      <c r="B312">
        <f>66*(82/55)</f>
        <v>98.4</v>
      </c>
      <c r="E312">
        <f t="shared" si="4"/>
        <v>81.148051948051943</v>
      </c>
    </row>
    <row r="313" spans="1:5" x14ac:dyDescent="0.25">
      <c r="A313" s="1">
        <v>45323</v>
      </c>
      <c r="B313">
        <f>61*(82/55)</f>
        <v>90.945454545454552</v>
      </c>
      <c r="E313">
        <f t="shared" si="4"/>
        <v>81.574025974025986</v>
      </c>
    </row>
    <row r="314" spans="1:5" x14ac:dyDescent="0.25">
      <c r="A314" s="1">
        <v>45324</v>
      </c>
      <c r="B314">
        <f>54*(82/55)</f>
        <v>80.509090909090915</v>
      </c>
      <c r="E314">
        <f t="shared" si="4"/>
        <v>82.212987012987014</v>
      </c>
    </row>
    <row r="315" spans="1:5" x14ac:dyDescent="0.25">
      <c r="A315" s="1">
        <v>45325</v>
      </c>
      <c r="B315">
        <f>40*(82/55)</f>
        <v>59.63636363636364</v>
      </c>
      <c r="E315">
        <f t="shared" si="4"/>
        <v>82.638961038961043</v>
      </c>
    </row>
    <row r="316" spans="1:5" x14ac:dyDescent="0.25">
      <c r="A316" s="1">
        <v>45326</v>
      </c>
      <c r="B316">
        <f>45*(82/55)</f>
        <v>67.090909090909093</v>
      </c>
      <c r="E316">
        <f t="shared" si="4"/>
        <v>83.064935064935071</v>
      </c>
    </row>
    <row r="317" spans="1:5" x14ac:dyDescent="0.25">
      <c r="A317" s="1">
        <v>45327</v>
      </c>
      <c r="B317">
        <f>62*(82/55)</f>
        <v>92.436363636363637</v>
      </c>
      <c r="E317">
        <f t="shared" si="4"/>
        <v>83.277922077922085</v>
      </c>
    </row>
    <row r="318" spans="1:5" x14ac:dyDescent="0.25">
      <c r="A318" s="1">
        <v>45328</v>
      </c>
      <c r="B318">
        <f>68*(82/55)</f>
        <v>101.38181818181819</v>
      </c>
      <c r="E318">
        <f t="shared" si="4"/>
        <v>84.342857142857156</v>
      </c>
    </row>
    <row r="319" spans="1:5" x14ac:dyDescent="0.25">
      <c r="A319" s="1">
        <v>45329</v>
      </c>
      <c r="B319">
        <f>65*(82/55)</f>
        <v>96.909090909090907</v>
      </c>
      <c r="E319">
        <f t="shared" si="4"/>
        <v>84.129870129870142</v>
      </c>
    </row>
    <row r="320" spans="1:5" x14ac:dyDescent="0.25">
      <c r="A320" s="1">
        <v>45330</v>
      </c>
      <c r="B320">
        <f>62*(82/55)</f>
        <v>92.436363636363637</v>
      </c>
      <c r="E320">
        <f t="shared" si="4"/>
        <v>84.342857142857156</v>
      </c>
    </row>
    <row r="321" spans="1:5" x14ac:dyDescent="0.25">
      <c r="A321" s="1">
        <v>45331</v>
      </c>
      <c r="B321">
        <f>56*(82/55)</f>
        <v>83.490909090909099</v>
      </c>
      <c r="E321">
        <f t="shared" si="4"/>
        <v>84.768831168831184</v>
      </c>
    </row>
    <row r="322" spans="1:5" x14ac:dyDescent="0.25">
      <c r="A322" s="1">
        <v>45332</v>
      </c>
      <c r="B322">
        <f>38*(82/55)</f>
        <v>56.654545454545456</v>
      </c>
      <c r="E322">
        <f t="shared" si="4"/>
        <v>84.342857142857142</v>
      </c>
    </row>
    <row r="323" spans="1:5" x14ac:dyDescent="0.25">
      <c r="A323" s="1">
        <v>45333</v>
      </c>
      <c r="B323">
        <f>43*(82/55)</f>
        <v>64.109090909090909</v>
      </c>
      <c r="E323">
        <f t="shared" si="4"/>
        <v>83.916883116883128</v>
      </c>
    </row>
    <row r="324" spans="1:5" x14ac:dyDescent="0.25">
      <c r="A324" s="1">
        <v>45334</v>
      </c>
      <c r="B324">
        <f>60*(82/55)</f>
        <v>89.454545454545453</v>
      </c>
      <c r="E324">
        <f t="shared" si="4"/>
        <v>83.490909090909099</v>
      </c>
    </row>
    <row r="325" spans="1:5" x14ac:dyDescent="0.25">
      <c r="A325" s="1">
        <v>45335</v>
      </c>
      <c r="B325">
        <f>66*(82/55)</f>
        <v>98.4</v>
      </c>
      <c r="E325">
        <f t="shared" si="4"/>
        <v>83.064935064935071</v>
      </c>
    </row>
    <row r="326" spans="1:5" x14ac:dyDescent="0.25">
      <c r="A326" s="1">
        <v>45336</v>
      </c>
      <c r="B326">
        <f>70*(82/55)</f>
        <v>104.36363636363637</v>
      </c>
      <c r="E326">
        <f t="shared" si="4"/>
        <v>84.129870129870127</v>
      </c>
    </row>
    <row r="327" spans="1:5" x14ac:dyDescent="0.25">
      <c r="A327" s="1">
        <v>45337</v>
      </c>
      <c r="B327">
        <f>65*(82/55)</f>
        <v>96.909090909090907</v>
      </c>
      <c r="E327">
        <f t="shared" si="4"/>
        <v>84.76883116883117</v>
      </c>
    </row>
    <row r="328" spans="1:5" x14ac:dyDescent="0.25">
      <c r="A328" s="1">
        <v>45338</v>
      </c>
      <c r="B328">
        <f>61*(82/55)</f>
        <v>90.945454545454552</v>
      </c>
      <c r="E328">
        <f t="shared" si="4"/>
        <v>85.833766233766241</v>
      </c>
    </row>
    <row r="329" spans="1:5" x14ac:dyDescent="0.25">
      <c r="A329" s="1">
        <v>45339</v>
      </c>
      <c r="B329">
        <f>44*(82/55)</f>
        <v>65.600000000000009</v>
      </c>
      <c r="E329">
        <f t="shared" si="4"/>
        <v>87.111688311688326</v>
      </c>
    </row>
    <row r="330" spans="1:5" x14ac:dyDescent="0.25">
      <c r="A330" s="1">
        <v>45340</v>
      </c>
      <c r="B330">
        <f>47*(82/55)</f>
        <v>70.072727272727278</v>
      </c>
      <c r="E330">
        <f t="shared" si="4"/>
        <v>87.963636363636368</v>
      </c>
    </row>
    <row r="331" spans="1:5" x14ac:dyDescent="0.25">
      <c r="A331" s="1">
        <v>45341</v>
      </c>
      <c r="B331">
        <f>68*(82/55)</f>
        <v>101.38181818181819</v>
      </c>
      <c r="E331">
        <f t="shared" si="4"/>
        <v>89.667532467532482</v>
      </c>
    </row>
    <row r="332" spans="1:5" x14ac:dyDescent="0.25">
      <c r="A332" s="1">
        <v>45342</v>
      </c>
      <c r="B332">
        <f>69*(82/55)</f>
        <v>102.87272727272727</v>
      </c>
      <c r="E332">
        <f t="shared" si="4"/>
        <v>90.306493506493524</v>
      </c>
    </row>
    <row r="333" spans="1:5" x14ac:dyDescent="0.25">
      <c r="A333" s="1">
        <v>45343</v>
      </c>
      <c r="B333">
        <f>73*(82/55)</f>
        <v>108.83636363636364</v>
      </c>
      <c r="E333">
        <f t="shared" si="4"/>
        <v>90.945454545454552</v>
      </c>
    </row>
    <row r="334" spans="1:5" x14ac:dyDescent="0.25">
      <c r="A334" s="1">
        <v>45344</v>
      </c>
      <c r="B334">
        <f>68*(82/55)</f>
        <v>101.38181818181819</v>
      </c>
      <c r="E334">
        <f t="shared" si="4"/>
        <v>91.584415584415595</v>
      </c>
    </row>
    <row r="335" spans="1:5" x14ac:dyDescent="0.25">
      <c r="A335" s="1">
        <v>45345</v>
      </c>
      <c r="B335">
        <f>63*(82/55)</f>
        <v>93.927272727272737</v>
      </c>
      <c r="E335">
        <f t="shared" si="4"/>
        <v>92.010389610389595</v>
      </c>
    </row>
    <row r="336" spans="1:5" x14ac:dyDescent="0.25">
      <c r="A336" s="1">
        <v>45346</v>
      </c>
      <c r="B336">
        <f>44*(82/55)</f>
        <v>65.600000000000009</v>
      </c>
      <c r="E336">
        <f t="shared" si="4"/>
        <v>92.010389610389623</v>
      </c>
    </row>
    <row r="337" spans="1:5" x14ac:dyDescent="0.25">
      <c r="A337" s="1">
        <v>45347</v>
      </c>
      <c r="B337">
        <f>50*(82/55)</f>
        <v>74.545454545454547</v>
      </c>
      <c r="E337">
        <f t="shared" si="4"/>
        <v>92.649350649350637</v>
      </c>
    </row>
    <row r="338" spans="1:5" x14ac:dyDescent="0.25">
      <c r="A338" s="1">
        <v>45348</v>
      </c>
      <c r="B338">
        <f>70*(82/55)</f>
        <v>104.36363636363637</v>
      </c>
      <c r="E338">
        <f t="shared" si="4"/>
        <v>93.075324675324694</v>
      </c>
    </row>
    <row r="339" spans="1:5" x14ac:dyDescent="0.25">
      <c r="A339" s="1">
        <v>45349</v>
      </c>
      <c r="B339">
        <f>74*(82/55)</f>
        <v>110.32727272727273</v>
      </c>
      <c r="E339">
        <f t="shared" si="4"/>
        <v>94.140259740259765</v>
      </c>
    </row>
    <row r="340" spans="1:5" x14ac:dyDescent="0.25">
      <c r="A340" s="1">
        <v>45350</v>
      </c>
      <c r="B340">
        <f>73*(82/55)</f>
        <v>108.83636363636364</v>
      </c>
      <c r="E340">
        <f t="shared" ref="E340:E403" si="5">AVERAGE(B334:B340)</f>
        <v>94.140259740259765</v>
      </c>
    </row>
    <row r="341" spans="1:5" x14ac:dyDescent="0.25">
      <c r="A341" s="1">
        <v>45351</v>
      </c>
      <c r="B341">
        <f>72*(82/55)</f>
        <v>107.34545454545454</v>
      </c>
      <c r="E341">
        <f t="shared" si="5"/>
        <v>94.992207792207793</v>
      </c>
    </row>
    <row r="342" spans="1:5" x14ac:dyDescent="0.25">
      <c r="A342" s="1">
        <v>45352</v>
      </c>
      <c r="B342">
        <f>61*(82/55)</f>
        <v>90.945454545454552</v>
      </c>
      <c r="E342">
        <f t="shared" si="5"/>
        <v>94.566233766233793</v>
      </c>
    </row>
    <row r="343" spans="1:5" x14ac:dyDescent="0.25">
      <c r="A343" s="1">
        <v>45353</v>
      </c>
      <c r="B343">
        <f>42*(82/55)</f>
        <v>62.618181818181817</v>
      </c>
      <c r="E343">
        <f t="shared" si="5"/>
        <v>94.140259740259765</v>
      </c>
    </row>
    <row r="344" spans="1:5" x14ac:dyDescent="0.25">
      <c r="A344" s="1">
        <v>45354</v>
      </c>
      <c r="B344">
        <f>52*(82/55)</f>
        <v>77.527272727272731</v>
      </c>
      <c r="E344">
        <f t="shared" si="5"/>
        <v>94.566233766233765</v>
      </c>
    </row>
    <row r="345" spans="1:5" x14ac:dyDescent="0.25">
      <c r="A345" s="1">
        <v>45355</v>
      </c>
      <c r="B345">
        <f>72*(82/55)</f>
        <v>107.34545454545454</v>
      </c>
      <c r="E345">
        <f t="shared" si="5"/>
        <v>94.992207792207793</v>
      </c>
    </row>
    <row r="346" spans="1:5" x14ac:dyDescent="0.25">
      <c r="A346" s="1">
        <v>45356</v>
      </c>
      <c r="B346">
        <f>75*(82/55)</f>
        <v>111.81818181818183</v>
      </c>
      <c r="E346">
        <f t="shared" si="5"/>
        <v>95.205194805194807</v>
      </c>
    </row>
    <row r="347" spans="1:5" x14ac:dyDescent="0.25">
      <c r="A347" s="1">
        <v>45357</v>
      </c>
      <c r="B347">
        <f>72*(82/55)</f>
        <v>107.34545454545454</v>
      </c>
      <c r="E347">
        <f t="shared" si="5"/>
        <v>94.992207792207822</v>
      </c>
    </row>
    <row r="348" spans="1:5" x14ac:dyDescent="0.25">
      <c r="A348" s="1">
        <v>45358</v>
      </c>
      <c r="B348">
        <f>72*(82/55)</f>
        <v>107.34545454545454</v>
      </c>
      <c r="E348">
        <f t="shared" si="5"/>
        <v>94.992207792207793</v>
      </c>
    </row>
    <row r="349" spans="1:5" x14ac:dyDescent="0.25">
      <c r="A349" s="1">
        <v>45359</v>
      </c>
      <c r="B349">
        <f>63*(82/55)</f>
        <v>93.927272727272737</v>
      </c>
      <c r="E349">
        <f t="shared" si="5"/>
        <v>95.418181818181822</v>
      </c>
    </row>
    <row r="350" spans="1:5" x14ac:dyDescent="0.25">
      <c r="A350" s="1">
        <v>45360</v>
      </c>
      <c r="B350">
        <f>47*(82/55)</f>
        <v>70.072727272727278</v>
      </c>
      <c r="E350">
        <f t="shared" si="5"/>
        <v>96.483116883116878</v>
      </c>
    </row>
    <row r="351" spans="1:5" x14ac:dyDescent="0.25">
      <c r="A351" s="1">
        <v>45361</v>
      </c>
      <c r="B351">
        <f>50*(82/55)</f>
        <v>74.545454545454547</v>
      </c>
      <c r="E351">
        <f t="shared" si="5"/>
        <v>96.05714285714285</v>
      </c>
    </row>
    <row r="352" spans="1:5" x14ac:dyDescent="0.25">
      <c r="A352" s="1">
        <v>45362</v>
      </c>
      <c r="B352">
        <f>71*(82/55)</f>
        <v>105.85454545454546</v>
      </c>
      <c r="E352">
        <f t="shared" si="5"/>
        <v>95.844155844155836</v>
      </c>
    </row>
    <row r="353" spans="1:5" x14ac:dyDescent="0.25">
      <c r="A353" s="1">
        <v>45363</v>
      </c>
      <c r="B353">
        <f>73*(82/55)</f>
        <v>108.83636363636364</v>
      </c>
      <c r="E353">
        <f t="shared" si="5"/>
        <v>95.418181818181822</v>
      </c>
    </row>
    <row r="354" spans="1:5" x14ac:dyDescent="0.25">
      <c r="A354" s="1">
        <v>45364</v>
      </c>
      <c r="B354">
        <f>74*(82/55)</f>
        <v>110.32727272727273</v>
      </c>
      <c r="E354">
        <f t="shared" si="5"/>
        <v>95.84415584415585</v>
      </c>
    </row>
    <row r="355" spans="1:5" x14ac:dyDescent="0.25">
      <c r="A355" s="1">
        <v>45365</v>
      </c>
      <c r="B355">
        <f>74*(82/55)</f>
        <v>110.32727272727273</v>
      </c>
      <c r="E355">
        <f t="shared" si="5"/>
        <v>96.270129870129878</v>
      </c>
    </row>
    <row r="356" spans="1:5" x14ac:dyDescent="0.25">
      <c r="A356" s="1">
        <v>45366</v>
      </c>
      <c r="B356">
        <f>62*(82/55)</f>
        <v>92.436363636363637</v>
      </c>
      <c r="E356">
        <f t="shared" si="5"/>
        <v>96.057142857142864</v>
      </c>
    </row>
    <row r="357" spans="1:5" x14ac:dyDescent="0.25">
      <c r="A357" s="1">
        <v>45367</v>
      </c>
      <c r="B357">
        <f>46*(82/55)</f>
        <v>68.581818181818178</v>
      </c>
      <c r="E357">
        <f t="shared" si="5"/>
        <v>95.844155844155836</v>
      </c>
    </row>
    <row r="358" spans="1:5" x14ac:dyDescent="0.25">
      <c r="A358" s="1">
        <v>45368</v>
      </c>
      <c r="B358">
        <f>51*(82/55)</f>
        <v>76.036363636363646</v>
      </c>
      <c r="E358">
        <f t="shared" si="5"/>
        <v>96.05714285714285</v>
      </c>
    </row>
    <row r="359" spans="1:5" x14ac:dyDescent="0.25">
      <c r="A359" s="1">
        <v>45369</v>
      </c>
      <c r="B359">
        <f>71*(82/55)</f>
        <v>105.85454545454546</v>
      </c>
      <c r="E359">
        <f t="shared" si="5"/>
        <v>96.05714285714285</v>
      </c>
    </row>
    <row r="360" spans="1:5" x14ac:dyDescent="0.25">
      <c r="A360" s="1">
        <v>45370</v>
      </c>
      <c r="B360">
        <f>74*(82/55)</f>
        <v>110.32727272727273</v>
      </c>
      <c r="E360">
        <f t="shared" si="5"/>
        <v>96.270129870129878</v>
      </c>
    </row>
    <row r="361" spans="1:5" x14ac:dyDescent="0.25">
      <c r="A361" s="1">
        <v>45371</v>
      </c>
      <c r="B361">
        <f>77*(82/55)</f>
        <v>114.8</v>
      </c>
      <c r="E361">
        <f t="shared" si="5"/>
        <v>96.909090909090907</v>
      </c>
    </row>
    <row r="362" spans="1:5" x14ac:dyDescent="0.25">
      <c r="A362" s="1">
        <v>45372</v>
      </c>
      <c r="B362">
        <f>73*(82/55)</f>
        <v>108.83636363636364</v>
      </c>
      <c r="E362">
        <f t="shared" si="5"/>
        <v>96.696103896103892</v>
      </c>
    </row>
    <row r="363" spans="1:5" x14ac:dyDescent="0.25">
      <c r="A363" s="1">
        <v>45373</v>
      </c>
      <c r="B363">
        <f>65*(82/55)</f>
        <v>96.909090909090907</v>
      </c>
      <c r="E363">
        <f t="shared" si="5"/>
        <v>97.335064935064935</v>
      </c>
    </row>
    <row r="364" spans="1:5" x14ac:dyDescent="0.25">
      <c r="A364" s="1">
        <v>45374</v>
      </c>
      <c r="B364">
        <f>45*(82/55)</f>
        <v>67.090909090909093</v>
      </c>
      <c r="E364">
        <f t="shared" si="5"/>
        <v>97.122077922077921</v>
      </c>
    </row>
    <row r="365" spans="1:5" x14ac:dyDescent="0.25">
      <c r="A365" s="1">
        <v>45375</v>
      </c>
      <c r="B365">
        <f>49*(82/55)</f>
        <v>73.054545454545462</v>
      </c>
      <c r="E365">
        <f t="shared" si="5"/>
        <v>96.696103896103907</v>
      </c>
    </row>
    <row r="366" spans="1:5" x14ac:dyDescent="0.25">
      <c r="A366" s="1">
        <v>45376</v>
      </c>
      <c r="B366">
        <f>66*(82/55)</f>
        <v>98.4</v>
      </c>
      <c r="E366">
        <f t="shared" si="5"/>
        <v>95.631168831168821</v>
      </c>
    </row>
    <row r="367" spans="1:5" x14ac:dyDescent="0.25">
      <c r="A367" s="1">
        <v>45377</v>
      </c>
      <c r="B367">
        <f>69*(82/55)</f>
        <v>102.87272727272727</v>
      </c>
      <c r="E367">
        <f t="shared" si="5"/>
        <v>94.566233766233765</v>
      </c>
    </row>
    <row r="368" spans="1:5" x14ac:dyDescent="0.25">
      <c r="A368" s="1">
        <v>45378</v>
      </c>
      <c r="B368">
        <f>69*(82/55)</f>
        <v>102.87272727272727</v>
      </c>
      <c r="E368">
        <f t="shared" si="5"/>
        <v>92.86233766233768</v>
      </c>
    </row>
    <row r="369" spans="1:5" x14ac:dyDescent="0.25">
      <c r="A369" s="1">
        <v>45379</v>
      </c>
      <c r="B369">
        <f>62*(82/55)</f>
        <v>92.436363636363637</v>
      </c>
      <c r="E369">
        <f t="shared" si="5"/>
        <v>90.519480519480538</v>
      </c>
    </row>
    <row r="370" spans="1:5" x14ac:dyDescent="0.25">
      <c r="A370" s="1">
        <v>45380</v>
      </c>
      <c r="B370">
        <f>48*(82/55)</f>
        <v>71.563636363636363</v>
      </c>
      <c r="E370">
        <f t="shared" si="5"/>
        <v>86.898701298701297</v>
      </c>
    </row>
    <row r="371" spans="1:5" x14ac:dyDescent="0.25">
      <c r="A371" s="1">
        <v>45381</v>
      </c>
      <c r="B371">
        <f>40*(82/55)</f>
        <v>59.63636363636364</v>
      </c>
      <c r="E371">
        <f t="shared" si="5"/>
        <v>85.833766233766241</v>
      </c>
    </row>
    <row r="372" spans="1:5" x14ac:dyDescent="0.25">
      <c r="A372" s="1">
        <v>45382</v>
      </c>
      <c r="B372">
        <f>43*(82/55)</f>
        <v>64.109090909090909</v>
      </c>
      <c r="E372">
        <f t="shared" si="5"/>
        <v>84.555844155844156</v>
      </c>
    </row>
    <row r="373" spans="1:5" x14ac:dyDescent="0.25">
      <c r="A373" s="1">
        <v>45383</v>
      </c>
      <c r="B373">
        <f>61*(82/55)</f>
        <v>90.945454545454552</v>
      </c>
      <c r="E373">
        <f t="shared" si="5"/>
        <v>83.490909090909099</v>
      </c>
    </row>
    <row r="374" spans="1:5" x14ac:dyDescent="0.25">
      <c r="A374" s="1">
        <v>45384</v>
      </c>
      <c r="B374">
        <f>69*(82/55)</f>
        <v>102.87272727272727</v>
      </c>
      <c r="E374">
        <f t="shared" si="5"/>
        <v>83.490909090909099</v>
      </c>
    </row>
    <row r="375" spans="1:5" x14ac:dyDescent="0.25">
      <c r="A375" s="1">
        <v>45385</v>
      </c>
      <c r="B375">
        <f>70*(82/55)</f>
        <v>104.36363636363637</v>
      </c>
      <c r="E375">
        <f t="shared" si="5"/>
        <v>83.703896103896113</v>
      </c>
    </row>
    <row r="376" spans="1:5" x14ac:dyDescent="0.25">
      <c r="A376" s="1">
        <v>45386</v>
      </c>
      <c r="B376">
        <f>72*(82/55)</f>
        <v>107.34545454545454</v>
      </c>
      <c r="E376">
        <f t="shared" si="5"/>
        <v>85.833766233766241</v>
      </c>
    </row>
    <row r="377" spans="1:5" x14ac:dyDescent="0.25">
      <c r="A377" s="1">
        <v>45387</v>
      </c>
      <c r="B377">
        <f>64*(82/55)</f>
        <v>95.418181818181822</v>
      </c>
      <c r="E377">
        <f t="shared" si="5"/>
        <v>89.241558441558439</v>
      </c>
    </row>
    <row r="378" spans="1:5" x14ac:dyDescent="0.25">
      <c r="A378" s="1">
        <v>45388</v>
      </c>
      <c r="B378">
        <f>43*(82/55)</f>
        <v>64.109090909090909</v>
      </c>
      <c r="E378">
        <f t="shared" si="5"/>
        <v>89.880519480519482</v>
      </c>
    </row>
    <row r="379" spans="1:5" x14ac:dyDescent="0.25">
      <c r="A379" s="1">
        <v>45389</v>
      </c>
      <c r="B379">
        <f>48*(82/55)</f>
        <v>71.563636363636363</v>
      </c>
      <c r="E379">
        <f t="shared" si="5"/>
        <v>90.945454545454524</v>
      </c>
    </row>
    <row r="380" spans="1:5" x14ac:dyDescent="0.25">
      <c r="A380" s="1">
        <v>45390</v>
      </c>
      <c r="B380">
        <f>72*(82/55)</f>
        <v>107.34545454545454</v>
      </c>
      <c r="E380">
        <f t="shared" si="5"/>
        <v>93.288311688311708</v>
      </c>
    </row>
    <row r="381" spans="1:5" x14ac:dyDescent="0.25">
      <c r="A381" s="1">
        <v>45391</v>
      </c>
      <c r="B381">
        <f>73*(82/55)</f>
        <v>108.83636363636364</v>
      </c>
      <c r="E381">
        <f t="shared" si="5"/>
        <v>94.140259740259737</v>
      </c>
    </row>
    <row r="382" spans="1:5" x14ac:dyDescent="0.25">
      <c r="A382" s="1">
        <v>45392</v>
      </c>
      <c r="B382">
        <f>79*(82/55)</f>
        <v>117.78181818181818</v>
      </c>
      <c r="E382">
        <f t="shared" si="5"/>
        <v>96.05714285714285</v>
      </c>
    </row>
    <row r="383" spans="1:5" x14ac:dyDescent="0.25">
      <c r="A383" s="1">
        <v>45393</v>
      </c>
      <c r="B383">
        <f>73*(82/55)</f>
        <v>108.83636363636364</v>
      </c>
      <c r="E383">
        <f t="shared" si="5"/>
        <v>96.270129870129864</v>
      </c>
    </row>
    <row r="384" spans="1:5" x14ac:dyDescent="0.25">
      <c r="A384" s="1">
        <v>45394</v>
      </c>
      <c r="B384">
        <f>66*(82/55)</f>
        <v>98.4</v>
      </c>
      <c r="E384">
        <f t="shared" si="5"/>
        <v>96.696103896103892</v>
      </c>
    </row>
    <row r="385" spans="1:5" x14ac:dyDescent="0.25">
      <c r="A385" s="1">
        <v>45395</v>
      </c>
      <c r="B385">
        <f>45*(82/55)</f>
        <v>67.090909090909093</v>
      </c>
      <c r="E385">
        <f t="shared" si="5"/>
        <v>97.122077922077921</v>
      </c>
    </row>
    <row r="386" spans="1:5" x14ac:dyDescent="0.25">
      <c r="A386" s="1">
        <v>45396</v>
      </c>
      <c r="B386">
        <f>51*(82/55)</f>
        <v>76.036363636363646</v>
      </c>
      <c r="E386">
        <f t="shared" si="5"/>
        <v>97.761038961038963</v>
      </c>
    </row>
    <row r="387" spans="1:5" x14ac:dyDescent="0.25">
      <c r="A387" s="1">
        <v>45397</v>
      </c>
      <c r="B387">
        <f>75*(82/55)</f>
        <v>111.81818181818183</v>
      </c>
      <c r="E387">
        <f t="shared" si="5"/>
        <v>98.4</v>
      </c>
    </row>
    <row r="388" spans="1:5" x14ac:dyDescent="0.25">
      <c r="A388" s="1">
        <v>45398</v>
      </c>
      <c r="B388">
        <f>82*(82/55)</f>
        <v>122.25454545454546</v>
      </c>
      <c r="E388">
        <f t="shared" si="5"/>
        <v>100.31688311688312</v>
      </c>
    </row>
    <row r="389" spans="1:5" x14ac:dyDescent="0.25">
      <c r="A389" s="1">
        <v>45399</v>
      </c>
      <c r="B389">
        <f>78*(82/55)</f>
        <v>116.2909090909091</v>
      </c>
      <c r="E389">
        <f t="shared" si="5"/>
        <v>100.1038961038961</v>
      </c>
    </row>
    <row r="390" spans="1:5" x14ac:dyDescent="0.25">
      <c r="A390" s="1">
        <v>45400</v>
      </c>
      <c r="B390">
        <f>80*(82/55)</f>
        <v>119.27272727272728</v>
      </c>
      <c r="E390">
        <f t="shared" si="5"/>
        <v>101.59480519480519</v>
      </c>
    </row>
    <row r="391" spans="1:5" x14ac:dyDescent="0.25">
      <c r="A391" s="1">
        <v>45401</v>
      </c>
      <c r="B391">
        <f>69*(82/55)</f>
        <v>102.87272727272727</v>
      </c>
      <c r="E391">
        <f t="shared" si="5"/>
        <v>102.23376623376623</v>
      </c>
    </row>
    <row r="392" spans="1:5" x14ac:dyDescent="0.25">
      <c r="A392" s="1">
        <v>45402</v>
      </c>
      <c r="B392">
        <f>48*(82/55)</f>
        <v>71.563636363636363</v>
      </c>
      <c r="E392">
        <f t="shared" si="5"/>
        <v>102.87272727272729</v>
      </c>
    </row>
    <row r="393" spans="1:5" x14ac:dyDescent="0.25">
      <c r="A393" s="1">
        <v>45403</v>
      </c>
      <c r="B393">
        <f>55*(82/55)</f>
        <v>82</v>
      </c>
      <c r="E393">
        <f t="shared" si="5"/>
        <v>103.72467532467532</v>
      </c>
    </row>
    <row r="394" spans="1:5" x14ac:dyDescent="0.25">
      <c r="A394" s="1">
        <v>45404</v>
      </c>
      <c r="B394">
        <f>82*(82/55)</f>
        <v>122.25454545454546</v>
      </c>
      <c r="E394">
        <f t="shared" si="5"/>
        <v>105.21558441558442</v>
      </c>
    </row>
    <row r="395" spans="1:5" x14ac:dyDescent="0.25">
      <c r="A395" s="1">
        <v>45405</v>
      </c>
      <c r="B395">
        <f>80*(82/55)</f>
        <v>119.27272727272728</v>
      </c>
      <c r="E395">
        <f t="shared" si="5"/>
        <v>104.78961038961039</v>
      </c>
    </row>
    <row r="396" spans="1:5" x14ac:dyDescent="0.25">
      <c r="A396" s="1">
        <v>45406</v>
      </c>
      <c r="B396">
        <f>82*(82/55)</f>
        <v>122.25454545454546</v>
      </c>
      <c r="E396">
        <f t="shared" si="5"/>
        <v>105.64155844155844</v>
      </c>
    </row>
    <row r="397" spans="1:5" x14ac:dyDescent="0.25">
      <c r="A397" s="1">
        <v>45407</v>
      </c>
      <c r="B397">
        <f>85*(82/55)</f>
        <v>126.72727272727273</v>
      </c>
      <c r="E397">
        <f t="shared" si="5"/>
        <v>106.70649350649352</v>
      </c>
    </row>
    <row r="398" spans="1:5" x14ac:dyDescent="0.25">
      <c r="A398" s="1">
        <v>45408</v>
      </c>
      <c r="B398">
        <f>70*(82/55)</f>
        <v>104.36363636363637</v>
      </c>
      <c r="E398">
        <f t="shared" si="5"/>
        <v>106.91948051948053</v>
      </c>
    </row>
    <row r="399" spans="1:5" x14ac:dyDescent="0.25">
      <c r="A399" s="1">
        <v>45409</v>
      </c>
      <c r="B399">
        <f>50*(82/55)</f>
        <v>74.545454545454547</v>
      </c>
      <c r="E399">
        <f t="shared" si="5"/>
        <v>107.34545454545454</v>
      </c>
    </row>
    <row r="400" spans="1:5" x14ac:dyDescent="0.25">
      <c r="A400" s="1">
        <v>45410</v>
      </c>
      <c r="B400">
        <f>56*(82/55)</f>
        <v>83.490909090909099</v>
      </c>
      <c r="E400">
        <f t="shared" si="5"/>
        <v>107.55844155844157</v>
      </c>
    </row>
    <row r="401" spans="1:5" x14ac:dyDescent="0.25">
      <c r="A401" s="1">
        <v>45411</v>
      </c>
      <c r="B401">
        <f>78*(82/55)</f>
        <v>116.2909090909091</v>
      </c>
      <c r="E401">
        <f t="shared" si="5"/>
        <v>106.70649350649352</v>
      </c>
    </row>
    <row r="402" spans="1:5" x14ac:dyDescent="0.25">
      <c r="A402" s="1">
        <v>45412</v>
      </c>
      <c r="B402">
        <f>79*(82/55)</f>
        <v>117.78181818181818</v>
      </c>
      <c r="E402">
        <f t="shared" si="5"/>
        <v>106.4935064935065</v>
      </c>
    </row>
    <row r="403" spans="1:5" x14ac:dyDescent="0.25">
      <c r="A403" s="1">
        <v>45413</v>
      </c>
      <c r="B403">
        <f>68*(82/55)</f>
        <v>101.38181818181819</v>
      </c>
      <c r="E403">
        <f t="shared" si="5"/>
        <v>103.51168831168832</v>
      </c>
    </row>
    <row r="404" spans="1:5" x14ac:dyDescent="0.25">
      <c r="A404" s="1">
        <v>45414</v>
      </c>
      <c r="B404">
        <f>74*(82/55)</f>
        <v>110.32727272727273</v>
      </c>
      <c r="E404">
        <f t="shared" ref="E404:E467" si="6">AVERAGE(B398:B404)</f>
        <v>101.16883116883118</v>
      </c>
    </row>
    <row r="405" spans="1:5" x14ac:dyDescent="0.25">
      <c r="A405" s="1">
        <v>45415</v>
      </c>
      <c r="B405">
        <f>73*(82/55)</f>
        <v>108.83636363636364</v>
      </c>
      <c r="E405">
        <f t="shared" si="6"/>
        <v>101.80779220779222</v>
      </c>
    </row>
    <row r="406" spans="1:5" x14ac:dyDescent="0.25">
      <c r="A406" s="1">
        <v>45416</v>
      </c>
      <c r="B406">
        <f>50*(82/55)</f>
        <v>74.545454545454547</v>
      </c>
      <c r="E406">
        <f t="shared" si="6"/>
        <v>101.80779220779222</v>
      </c>
    </row>
    <row r="407" spans="1:5" x14ac:dyDescent="0.25">
      <c r="A407" s="1">
        <v>45417</v>
      </c>
      <c r="B407">
        <f>56*(82/55)</f>
        <v>83.490909090909099</v>
      </c>
      <c r="E407">
        <f t="shared" si="6"/>
        <v>101.8077922077922</v>
      </c>
    </row>
    <row r="408" spans="1:5" x14ac:dyDescent="0.25">
      <c r="A408" s="1">
        <v>45418</v>
      </c>
      <c r="B408">
        <f>78*(82/55)</f>
        <v>116.2909090909091</v>
      </c>
      <c r="E408">
        <f t="shared" si="6"/>
        <v>101.8077922077922</v>
      </c>
    </row>
    <row r="409" spans="1:5" x14ac:dyDescent="0.25">
      <c r="A409" s="1">
        <v>45419</v>
      </c>
      <c r="B409">
        <f>85*(82/55)</f>
        <v>126.72727272727273</v>
      </c>
      <c r="E409">
        <f t="shared" si="6"/>
        <v>103.08571428571429</v>
      </c>
    </row>
    <row r="410" spans="1:5" x14ac:dyDescent="0.25">
      <c r="A410" s="1">
        <v>45420</v>
      </c>
      <c r="B410">
        <f>77*(82/55)</f>
        <v>114.8</v>
      </c>
      <c r="E410">
        <f t="shared" si="6"/>
        <v>105.0025974025974</v>
      </c>
    </row>
    <row r="411" spans="1:5" x14ac:dyDescent="0.25">
      <c r="A411" s="1">
        <v>45421</v>
      </c>
      <c r="B411">
        <f>76*(82/55)</f>
        <v>113.30909090909091</v>
      </c>
      <c r="E411">
        <f t="shared" si="6"/>
        <v>105.42857142857143</v>
      </c>
    </row>
    <row r="412" spans="1:5" x14ac:dyDescent="0.25">
      <c r="A412" s="1">
        <v>45422</v>
      </c>
      <c r="B412">
        <f>69*(82/55)</f>
        <v>102.87272727272727</v>
      </c>
      <c r="E412">
        <f t="shared" si="6"/>
        <v>104.57662337662339</v>
      </c>
    </row>
    <row r="413" spans="1:5" x14ac:dyDescent="0.25">
      <c r="A413" s="1">
        <v>45423</v>
      </c>
      <c r="B413">
        <f>50*(82/55)</f>
        <v>74.545454545454547</v>
      </c>
      <c r="E413">
        <f t="shared" si="6"/>
        <v>104.57662337662339</v>
      </c>
    </row>
    <row r="414" spans="1:5" x14ac:dyDescent="0.25">
      <c r="A414" s="1">
        <v>45424</v>
      </c>
      <c r="B414">
        <f>55*(82/55)</f>
        <v>82</v>
      </c>
      <c r="E414">
        <f t="shared" si="6"/>
        <v>104.36363636363636</v>
      </c>
    </row>
    <row r="415" spans="1:5" x14ac:dyDescent="0.25">
      <c r="A415" s="1">
        <v>45425</v>
      </c>
      <c r="B415">
        <f>82*(82/55)</f>
        <v>122.25454545454546</v>
      </c>
      <c r="E415">
        <f t="shared" si="6"/>
        <v>105.21558441558442</v>
      </c>
    </row>
    <row r="416" spans="1:5" x14ac:dyDescent="0.25">
      <c r="A416" s="1">
        <v>45426</v>
      </c>
      <c r="B416">
        <f>100*(82/55)</f>
        <v>149.09090909090909</v>
      </c>
      <c r="E416">
        <f t="shared" si="6"/>
        <v>108.41038961038963</v>
      </c>
    </row>
    <row r="417" spans="1:5" x14ac:dyDescent="0.25">
      <c r="A417" s="1">
        <v>45427</v>
      </c>
      <c r="B417">
        <f>93*(82/55)</f>
        <v>138.65454545454546</v>
      </c>
      <c r="E417">
        <f t="shared" si="6"/>
        <v>111.81818181818183</v>
      </c>
    </row>
    <row r="418" spans="1:5" x14ac:dyDescent="0.25">
      <c r="A418" s="1">
        <v>45428</v>
      </c>
      <c r="B418">
        <f>93*(82/55)</f>
        <v>138.65454545454546</v>
      </c>
      <c r="E418">
        <f t="shared" si="6"/>
        <v>115.43896103896103</v>
      </c>
    </row>
    <row r="419" spans="1:5" x14ac:dyDescent="0.25">
      <c r="A419" s="1">
        <v>45429</v>
      </c>
      <c r="B419">
        <f>81*(82/55)</f>
        <v>120.76363636363637</v>
      </c>
      <c r="E419">
        <f t="shared" si="6"/>
        <v>117.99480519480518</v>
      </c>
    </row>
    <row r="420" spans="1:5" x14ac:dyDescent="0.25">
      <c r="A420" s="1">
        <v>45430</v>
      </c>
      <c r="B420">
        <f>58*(82/55)</f>
        <v>86.472727272727269</v>
      </c>
      <c r="E420">
        <f t="shared" si="6"/>
        <v>119.69870129870129</v>
      </c>
    </row>
    <row r="421" spans="1:5" x14ac:dyDescent="0.25">
      <c r="A421" s="1">
        <v>45431</v>
      </c>
      <c r="B421">
        <f>60*(82/55)</f>
        <v>89.454545454545453</v>
      </c>
      <c r="E421">
        <f t="shared" si="6"/>
        <v>120.76363636363637</v>
      </c>
    </row>
    <row r="422" spans="1:5" x14ac:dyDescent="0.25">
      <c r="A422" s="1">
        <v>45432</v>
      </c>
      <c r="B422">
        <f>86*(82/55)</f>
        <v>128.21818181818182</v>
      </c>
      <c r="E422">
        <f t="shared" si="6"/>
        <v>121.61558441558442</v>
      </c>
    </row>
    <row r="423" spans="1:5" x14ac:dyDescent="0.25">
      <c r="A423" s="1">
        <v>45433</v>
      </c>
      <c r="B423">
        <f>93*(82/55)</f>
        <v>138.65454545454546</v>
      </c>
      <c r="E423">
        <f t="shared" si="6"/>
        <v>120.12467532467532</v>
      </c>
    </row>
    <row r="424" spans="1:5" x14ac:dyDescent="0.25">
      <c r="A424" s="1">
        <v>45434</v>
      </c>
      <c r="B424">
        <f>96*(82/55)</f>
        <v>143.12727272727273</v>
      </c>
      <c r="E424">
        <f t="shared" si="6"/>
        <v>120.76363636363635</v>
      </c>
    </row>
    <row r="425" spans="1:5" x14ac:dyDescent="0.25">
      <c r="A425" s="1">
        <v>45435</v>
      </c>
      <c r="B425">
        <f>90*(82/55)</f>
        <v>134.18181818181819</v>
      </c>
      <c r="E425">
        <f t="shared" si="6"/>
        <v>120.12467532467531</v>
      </c>
    </row>
    <row r="426" spans="1:5" x14ac:dyDescent="0.25">
      <c r="A426" s="1">
        <v>45436</v>
      </c>
      <c r="B426">
        <f>78*(82/55)</f>
        <v>116.2909090909091</v>
      </c>
      <c r="E426">
        <f t="shared" si="6"/>
        <v>119.48571428571427</v>
      </c>
    </row>
    <row r="427" spans="1:5" x14ac:dyDescent="0.25">
      <c r="A427" s="1">
        <v>45437</v>
      </c>
      <c r="B427">
        <f>57*(82/55)</f>
        <v>84.981818181818184</v>
      </c>
      <c r="E427">
        <f t="shared" si="6"/>
        <v>119.27272727272728</v>
      </c>
    </row>
    <row r="428" spans="1:5" x14ac:dyDescent="0.25">
      <c r="A428" s="1">
        <v>45438</v>
      </c>
      <c r="B428">
        <f>60*(82/55)</f>
        <v>89.454545454545453</v>
      </c>
      <c r="E428">
        <f t="shared" si="6"/>
        <v>119.27272727272728</v>
      </c>
    </row>
    <row r="429" spans="1:5" x14ac:dyDescent="0.25">
      <c r="A429" s="1">
        <v>45439</v>
      </c>
      <c r="B429">
        <f>86*(82/55)</f>
        <v>128.21818181818182</v>
      </c>
      <c r="E429">
        <f t="shared" si="6"/>
        <v>119.27272727272728</v>
      </c>
    </row>
    <row r="430" spans="1:5" x14ac:dyDescent="0.25">
      <c r="A430" s="1">
        <v>45440</v>
      </c>
      <c r="B430">
        <v>132.4220566318927</v>
      </c>
      <c r="E430">
        <f t="shared" si="6"/>
        <v>118.38237172663403</v>
      </c>
    </row>
    <row r="431" spans="1:5" x14ac:dyDescent="0.25">
      <c r="A431" s="1">
        <v>45441</v>
      </c>
      <c r="B431">
        <v>136.62593144560356</v>
      </c>
      <c r="E431">
        <f t="shared" si="6"/>
        <v>117.45360868639557</v>
      </c>
    </row>
    <row r="432" spans="1:5" x14ac:dyDescent="0.25">
      <c r="A432" s="1">
        <v>45442</v>
      </c>
      <c r="B432">
        <v>130.32011922503725</v>
      </c>
      <c r="E432">
        <f t="shared" si="6"/>
        <v>116.90193740685545</v>
      </c>
    </row>
    <row r="433" spans="1:5" x14ac:dyDescent="0.25">
      <c r="A433" s="1">
        <v>45443</v>
      </c>
      <c r="B433">
        <v>121.91236959761549</v>
      </c>
      <c r="E433">
        <f t="shared" si="6"/>
        <v>117.70500319352777</v>
      </c>
    </row>
    <row r="434" spans="1:5" x14ac:dyDescent="0.25">
      <c r="A434" s="1">
        <v>45444</v>
      </c>
      <c r="B434">
        <v>79.873621460506698</v>
      </c>
      <c r="E434">
        <f t="shared" si="6"/>
        <v>116.97526080476898</v>
      </c>
    </row>
    <row r="435" spans="1:5" x14ac:dyDescent="0.25">
      <c r="A435" s="1">
        <v>45445</v>
      </c>
      <c r="B435">
        <v>90.383308494783904</v>
      </c>
      <c r="E435">
        <f t="shared" si="6"/>
        <v>117.10794123908877</v>
      </c>
    </row>
    <row r="436" spans="1:5" x14ac:dyDescent="0.25">
      <c r="A436" s="1">
        <v>45446</v>
      </c>
      <c r="B436">
        <v>130.32011922503725</v>
      </c>
      <c r="E436">
        <f t="shared" si="6"/>
        <v>117.4082180114967</v>
      </c>
    </row>
    <row r="437" spans="1:5" x14ac:dyDescent="0.25">
      <c r="A437" s="1">
        <v>45447</v>
      </c>
      <c r="B437">
        <v>210.19374068554396</v>
      </c>
      <c r="E437">
        <f t="shared" si="6"/>
        <v>128.51845859058974</v>
      </c>
    </row>
    <row r="438" spans="1:5" x14ac:dyDescent="0.25">
      <c r="A438" s="1">
        <v>45448</v>
      </c>
      <c r="B438">
        <v>132.4220566318927</v>
      </c>
      <c r="E438">
        <f t="shared" si="6"/>
        <v>127.91790504577389</v>
      </c>
    </row>
    <row r="439" spans="1:5" x14ac:dyDescent="0.25">
      <c r="A439" s="1">
        <v>45449</v>
      </c>
      <c r="B439">
        <v>121.91236959761549</v>
      </c>
      <c r="E439">
        <f t="shared" si="6"/>
        <v>126.7167979561422</v>
      </c>
    </row>
    <row r="440" spans="1:5" x14ac:dyDescent="0.25">
      <c r="A440" s="1">
        <v>45450</v>
      </c>
      <c r="B440">
        <v>111.40268256333829</v>
      </c>
      <c r="E440">
        <f t="shared" si="6"/>
        <v>125.21541409410261</v>
      </c>
    </row>
    <row r="441" spans="1:5" x14ac:dyDescent="0.25">
      <c r="A441" s="1">
        <v>45451</v>
      </c>
      <c r="B441">
        <v>77.771684053651256</v>
      </c>
      <c r="E441">
        <f t="shared" si="6"/>
        <v>124.9151373216947</v>
      </c>
    </row>
    <row r="442" spans="1:5" x14ac:dyDescent="0.25">
      <c r="A442" s="1">
        <v>45452</v>
      </c>
      <c r="B442">
        <v>81.975558867362139</v>
      </c>
      <c r="E442">
        <f t="shared" si="6"/>
        <v>123.71403023206301</v>
      </c>
    </row>
    <row r="443" spans="1:5" x14ac:dyDescent="0.25">
      <c r="A443" s="1">
        <v>45453</v>
      </c>
      <c r="B443">
        <v>121.91236959761549</v>
      </c>
      <c r="E443">
        <f t="shared" si="6"/>
        <v>122.51292314243132</v>
      </c>
    </row>
    <row r="444" spans="1:5" x14ac:dyDescent="0.25">
      <c r="A444" s="1">
        <v>45454</v>
      </c>
      <c r="B444">
        <v>136.62593144560356</v>
      </c>
      <c r="E444">
        <f t="shared" si="6"/>
        <v>112.00323610815413</v>
      </c>
    </row>
    <row r="445" spans="1:5" x14ac:dyDescent="0.25">
      <c r="A445" s="1">
        <v>45455</v>
      </c>
      <c r="B445">
        <v>128.21818181818182</v>
      </c>
      <c r="E445">
        <f t="shared" si="6"/>
        <v>111.40268256333829</v>
      </c>
    </row>
    <row r="446" spans="1:5" x14ac:dyDescent="0.25">
      <c r="A446" s="1">
        <v>45456</v>
      </c>
      <c r="B446">
        <v>124.01430700447094</v>
      </c>
      <c r="E446">
        <f t="shared" si="6"/>
        <v>111.70295933574623</v>
      </c>
    </row>
    <row r="447" spans="1:5" x14ac:dyDescent="0.25">
      <c r="A447" s="1">
        <v>45457</v>
      </c>
      <c r="B447">
        <v>98.791058122205655</v>
      </c>
      <c r="E447">
        <f t="shared" si="6"/>
        <v>109.9012987012987</v>
      </c>
    </row>
    <row r="448" spans="1:5" x14ac:dyDescent="0.25">
      <c r="A448" s="1">
        <v>45458</v>
      </c>
      <c r="B448">
        <v>71.465871833084947</v>
      </c>
      <c r="E448">
        <f t="shared" si="6"/>
        <v>109.00046838407492</v>
      </c>
    </row>
    <row r="449" spans="1:5" x14ac:dyDescent="0.25">
      <c r="A449" s="1">
        <v>45459</v>
      </c>
      <c r="B449">
        <v>71.465871833084947</v>
      </c>
      <c r="E449">
        <f t="shared" si="6"/>
        <v>107.49908452203535</v>
      </c>
    </row>
    <row r="450" spans="1:5" x14ac:dyDescent="0.25">
      <c r="A450" s="1">
        <v>45460</v>
      </c>
      <c r="B450">
        <v>121.91236959761549</v>
      </c>
      <c r="E450">
        <f t="shared" si="6"/>
        <v>107.49908452203533</v>
      </c>
    </row>
    <row r="451" spans="1:5" x14ac:dyDescent="0.25">
      <c r="A451" s="1">
        <v>45461</v>
      </c>
      <c r="B451">
        <v>111.40268256333829</v>
      </c>
      <c r="E451">
        <f t="shared" si="6"/>
        <v>103.8957632531403</v>
      </c>
    </row>
    <row r="452" spans="1:5" x14ac:dyDescent="0.25">
      <c r="A452" s="1">
        <v>45462</v>
      </c>
      <c r="B452">
        <v>113.50461997019373</v>
      </c>
      <c r="E452">
        <f t="shared" si="6"/>
        <v>101.79382584628486</v>
      </c>
    </row>
    <row r="453" spans="1:5" x14ac:dyDescent="0.25">
      <c r="A453" s="1">
        <v>45463</v>
      </c>
      <c r="B453">
        <v>109.30074515648286</v>
      </c>
      <c r="E453">
        <f t="shared" si="6"/>
        <v>99.691888439429434</v>
      </c>
    </row>
    <row r="454" spans="1:5" x14ac:dyDescent="0.25">
      <c r="A454" s="1">
        <v>45464</v>
      </c>
      <c r="B454">
        <v>102.99493293591654</v>
      </c>
      <c r="E454">
        <f t="shared" si="6"/>
        <v>100.29244198424526</v>
      </c>
    </row>
    <row r="455" spans="1:5" x14ac:dyDescent="0.25">
      <c r="A455" s="1">
        <v>45465</v>
      </c>
      <c r="B455">
        <v>71.465871833084947</v>
      </c>
      <c r="E455">
        <f t="shared" si="6"/>
        <v>100.29244198424526</v>
      </c>
    </row>
    <row r="456" spans="1:5" x14ac:dyDescent="0.25">
      <c r="A456" s="1">
        <v>45466</v>
      </c>
      <c r="B456">
        <v>77.771684053651256</v>
      </c>
      <c r="E456">
        <f t="shared" si="6"/>
        <v>101.19327230146902</v>
      </c>
    </row>
    <row r="457" spans="1:5" x14ac:dyDescent="0.25">
      <c r="A457" s="1">
        <v>45467</v>
      </c>
      <c r="B457">
        <v>111.40268256333829</v>
      </c>
      <c r="E457">
        <f t="shared" si="6"/>
        <v>99.691888439429405</v>
      </c>
    </row>
    <row r="458" spans="1:5" x14ac:dyDescent="0.25">
      <c r="A458" s="1">
        <v>45468</v>
      </c>
      <c r="B458">
        <v>113.50461997019373</v>
      </c>
      <c r="E458">
        <f t="shared" si="6"/>
        <v>99.992165211837346</v>
      </c>
    </row>
    <row r="459" spans="1:5" x14ac:dyDescent="0.25">
      <c r="A459" s="1">
        <v>45469</v>
      </c>
      <c r="B459">
        <v>109.30074515648286</v>
      </c>
      <c r="E459">
        <f t="shared" si="6"/>
        <v>99.391611667021508</v>
      </c>
    </row>
    <row r="460" spans="1:5" x14ac:dyDescent="0.25">
      <c r="A460" s="1">
        <v>45470</v>
      </c>
      <c r="B460">
        <v>107.19880774962742</v>
      </c>
      <c r="E460">
        <f t="shared" si="6"/>
        <v>99.091334894613595</v>
      </c>
    </row>
    <row r="461" spans="1:5" x14ac:dyDescent="0.25">
      <c r="A461" s="1">
        <v>45471</v>
      </c>
      <c r="B461">
        <v>96.689120715350214</v>
      </c>
      <c r="E461">
        <f t="shared" si="6"/>
        <v>98.190504577389817</v>
      </c>
    </row>
    <row r="462" spans="1:5" x14ac:dyDescent="0.25">
      <c r="A462" s="1">
        <v>45472</v>
      </c>
      <c r="B462">
        <v>67.261997019374064</v>
      </c>
      <c r="E462">
        <f t="shared" si="6"/>
        <v>97.589951032573964</v>
      </c>
    </row>
    <row r="463" spans="1:5" x14ac:dyDescent="0.25">
      <c r="A463" s="1">
        <v>45473</v>
      </c>
      <c r="B463">
        <v>67.261997019374064</v>
      </c>
      <c r="E463">
        <f t="shared" si="6"/>
        <v>96.08856717053439</v>
      </c>
    </row>
    <row r="464" spans="1:5" x14ac:dyDescent="0.25">
      <c r="A464" s="1">
        <v>45474</v>
      </c>
      <c r="B464">
        <v>94.587183308494772</v>
      </c>
      <c r="E464">
        <f t="shared" si="6"/>
        <v>93.686352991271022</v>
      </c>
    </row>
    <row r="465" spans="1:5" x14ac:dyDescent="0.25">
      <c r="A465" s="1">
        <v>45475</v>
      </c>
      <c r="B465">
        <v>100.8929955290611</v>
      </c>
      <c r="E465">
        <f t="shared" si="6"/>
        <v>91.884692356823493</v>
      </c>
    </row>
    <row r="466" spans="1:5" x14ac:dyDescent="0.25">
      <c r="A466" s="1">
        <v>45476</v>
      </c>
      <c r="B466">
        <v>102.99493293591654</v>
      </c>
      <c r="E466">
        <f t="shared" si="6"/>
        <v>90.983862039599742</v>
      </c>
    </row>
    <row r="467" spans="1:5" x14ac:dyDescent="0.25">
      <c r="A467" s="1">
        <v>45477</v>
      </c>
      <c r="B467">
        <v>98.791058122205655</v>
      </c>
      <c r="E467">
        <f t="shared" si="6"/>
        <v>89.782754949968052</v>
      </c>
    </row>
    <row r="468" spans="1:5" x14ac:dyDescent="0.25">
      <c r="A468" s="1">
        <v>45478</v>
      </c>
      <c r="B468">
        <v>90.383308494783904</v>
      </c>
      <c r="E468">
        <f t="shared" ref="E468:E531" si="7">AVERAGE(B462:B468)</f>
        <v>88.881924632744315</v>
      </c>
    </row>
    <row r="469" spans="1:5" x14ac:dyDescent="0.25">
      <c r="A469" s="1">
        <v>45479</v>
      </c>
      <c r="B469">
        <v>65.160059612518623</v>
      </c>
      <c r="E469">
        <f t="shared" si="7"/>
        <v>88.581647860336375</v>
      </c>
    </row>
    <row r="470" spans="1:5" x14ac:dyDescent="0.25">
      <c r="A470" s="1">
        <v>45480</v>
      </c>
      <c r="B470">
        <v>65.160059612518623</v>
      </c>
      <c r="E470">
        <f t="shared" si="7"/>
        <v>88.281371087928434</v>
      </c>
    </row>
    <row r="471" spans="1:5" x14ac:dyDescent="0.25">
      <c r="A471" s="1">
        <v>45481</v>
      </c>
      <c r="B471">
        <v>98.791058122205655</v>
      </c>
      <c r="E471">
        <f t="shared" si="7"/>
        <v>88.881924632744287</v>
      </c>
    </row>
    <row r="472" spans="1:5" x14ac:dyDescent="0.25">
      <c r="A472" s="1">
        <v>45482</v>
      </c>
      <c r="B472">
        <v>102.99493293591654</v>
      </c>
      <c r="E472">
        <f t="shared" si="7"/>
        <v>89.182201405152213</v>
      </c>
    </row>
    <row r="473" spans="1:5" x14ac:dyDescent="0.25">
      <c r="A473" s="1">
        <v>45483</v>
      </c>
      <c r="B473">
        <v>100.8929955290611</v>
      </c>
      <c r="E473">
        <f t="shared" si="7"/>
        <v>88.881924632744287</v>
      </c>
    </row>
    <row r="474" spans="1:5" x14ac:dyDescent="0.25">
      <c r="A474" s="1">
        <v>45484</v>
      </c>
      <c r="B474">
        <v>102.99493293591654</v>
      </c>
      <c r="E474">
        <f t="shared" si="7"/>
        <v>89.482478177560125</v>
      </c>
    </row>
    <row r="475" spans="1:5" x14ac:dyDescent="0.25">
      <c r="A475" s="1">
        <v>45485</v>
      </c>
      <c r="B475">
        <v>90.383308494783904</v>
      </c>
      <c r="E475">
        <f t="shared" si="7"/>
        <v>89.482478177560139</v>
      </c>
    </row>
    <row r="476" spans="1:5" x14ac:dyDescent="0.25">
      <c r="A476" s="1">
        <v>45486</v>
      </c>
      <c r="B476">
        <v>65.160059612518623</v>
      </c>
      <c r="E476">
        <f t="shared" si="7"/>
        <v>89.482478177560125</v>
      </c>
    </row>
    <row r="477" spans="1:5" x14ac:dyDescent="0.25">
      <c r="A477" s="1">
        <v>45487</v>
      </c>
      <c r="B477">
        <v>67.261997019374064</v>
      </c>
      <c r="E477">
        <f t="shared" si="7"/>
        <v>89.782754949968066</v>
      </c>
    </row>
    <row r="478" spans="1:5" x14ac:dyDescent="0.25">
      <c r="A478" s="1">
        <v>45488</v>
      </c>
      <c r="B478">
        <v>90.383308494783904</v>
      </c>
      <c r="E478">
        <f t="shared" si="7"/>
        <v>88.581647860336389</v>
      </c>
    </row>
    <row r="479" spans="1:5" x14ac:dyDescent="0.25">
      <c r="A479" s="1">
        <v>45489</v>
      </c>
      <c r="B479">
        <v>102.99493293591654</v>
      </c>
      <c r="E479">
        <f t="shared" si="7"/>
        <v>88.581647860336375</v>
      </c>
    </row>
    <row r="480" spans="1:5" x14ac:dyDescent="0.25">
      <c r="A480" s="1">
        <v>45490</v>
      </c>
      <c r="B480">
        <v>107.19880774962742</v>
      </c>
      <c r="E480">
        <f t="shared" si="7"/>
        <v>89.482478177560139</v>
      </c>
    </row>
    <row r="481" spans="1:5" x14ac:dyDescent="0.25">
      <c r="A481" s="1">
        <v>45491</v>
      </c>
      <c r="B481">
        <v>100.8929955290611</v>
      </c>
      <c r="E481">
        <f t="shared" si="7"/>
        <v>89.182201405152213</v>
      </c>
    </row>
    <row r="482" spans="1:5" x14ac:dyDescent="0.25">
      <c r="A482" s="1">
        <v>45492</v>
      </c>
      <c r="B482">
        <v>86.179433681073021</v>
      </c>
      <c r="E482">
        <f t="shared" si="7"/>
        <v>88.581647860336389</v>
      </c>
    </row>
    <row r="483" spans="1:5" x14ac:dyDescent="0.25">
      <c r="A483" s="1">
        <v>45493</v>
      </c>
      <c r="B483">
        <v>69.363934426229505</v>
      </c>
      <c r="E483">
        <f t="shared" si="7"/>
        <v>89.182201405152213</v>
      </c>
    </row>
    <row r="484" spans="1:5" x14ac:dyDescent="0.25">
      <c r="A484" s="1">
        <v>45494</v>
      </c>
      <c r="B484">
        <v>65.160059612518623</v>
      </c>
      <c r="E484">
        <f t="shared" si="7"/>
        <v>88.881924632744287</v>
      </c>
    </row>
    <row r="485" spans="1:5" x14ac:dyDescent="0.25">
      <c r="A485" s="1">
        <v>45495</v>
      </c>
      <c r="B485">
        <v>98.791058122205655</v>
      </c>
      <c r="E485">
        <f t="shared" si="7"/>
        <v>90.083031722375964</v>
      </c>
    </row>
    <row r="486" spans="1:5" x14ac:dyDescent="0.25">
      <c r="A486" s="1">
        <v>45496</v>
      </c>
      <c r="B486">
        <v>105.09687034277198</v>
      </c>
      <c r="E486">
        <f t="shared" si="7"/>
        <v>90.383308494783904</v>
      </c>
    </row>
    <row r="487" spans="1:5" x14ac:dyDescent="0.25">
      <c r="A487" s="1">
        <v>45497</v>
      </c>
      <c r="B487">
        <v>102.99493293591654</v>
      </c>
      <c r="E487">
        <f t="shared" si="7"/>
        <v>89.782754949968066</v>
      </c>
    </row>
    <row r="488" spans="1:5" x14ac:dyDescent="0.25">
      <c r="A488" s="1">
        <v>45498</v>
      </c>
      <c r="B488">
        <v>100.8929955290611</v>
      </c>
      <c r="E488">
        <f t="shared" si="7"/>
        <v>89.782754949968052</v>
      </c>
    </row>
    <row r="489" spans="1:5" x14ac:dyDescent="0.25">
      <c r="A489" s="1">
        <v>45499</v>
      </c>
      <c r="B489">
        <v>90.383308494783904</v>
      </c>
      <c r="E489">
        <f t="shared" si="7"/>
        <v>90.383308494783904</v>
      </c>
    </row>
    <row r="490" spans="1:5" x14ac:dyDescent="0.25">
      <c r="A490" s="1">
        <v>45500</v>
      </c>
      <c r="B490">
        <v>63.058122205663182</v>
      </c>
      <c r="E490">
        <f t="shared" si="7"/>
        <v>89.482478177560139</v>
      </c>
    </row>
    <row r="491" spans="1:5" x14ac:dyDescent="0.25">
      <c r="A491" s="1">
        <v>45501</v>
      </c>
      <c r="B491">
        <v>67.261997019374064</v>
      </c>
      <c r="E491">
        <f t="shared" si="7"/>
        <v>89.782754949968066</v>
      </c>
    </row>
    <row r="492" spans="1:5" x14ac:dyDescent="0.25">
      <c r="A492" s="1">
        <v>45502</v>
      </c>
      <c r="B492">
        <v>100.8929955290611</v>
      </c>
      <c r="E492">
        <f t="shared" si="7"/>
        <v>90.083031722375978</v>
      </c>
    </row>
    <row r="493" spans="1:5" x14ac:dyDescent="0.25">
      <c r="A493" s="1">
        <v>45503</v>
      </c>
      <c r="B493">
        <v>109.30074515648286</v>
      </c>
      <c r="E493">
        <f t="shared" si="7"/>
        <v>90.683585267191816</v>
      </c>
    </row>
    <row r="494" spans="1:5" x14ac:dyDescent="0.25">
      <c r="A494" s="1">
        <v>45504</v>
      </c>
      <c r="B494">
        <v>102.99493293591654</v>
      </c>
      <c r="E494">
        <f t="shared" si="7"/>
        <v>90.683585267191816</v>
      </c>
    </row>
    <row r="495" spans="1:5" x14ac:dyDescent="0.25">
      <c r="A495" s="1">
        <v>45505</v>
      </c>
      <c r="B495">
        <v>107.19880774962742</v>
      </c>
      <c r="E495">
        <f t="shared" si="7"/>
        <v>91.584415584415595</v>
      </c>
    </row>
    <row r="496" spans="1:5" x14ac:dyDescent="0.25">
      <c r="A496" s="1">
        <v>45506</v>
      </c>
      <c r="B496">
        <v>90.383308494783904</v>
      </c>
      <c r="E496">
        <f t="shared" si="7"/>
        <v>91.584415584415595</v>
      </c>
    </row>
    <row r="497" spans="1:5" x14ac:dyDescent="0.25">
      <c r="A497" s="1">
        <v>45507</v>
      </c>
      <c r="B497">
        <v>69.363934426229505</v>
      </c>
      <c r="E497">
        <f t="shared" si="7"/>
        <v>92.485245901639345</v>
      </c>
    </row>
    <row r="498" spans="1:5" x14ac:dyDescent="0.25">
      <c r="A498" s="1">
        <v>45508</v>
      </c>
      <c r="B498">
        <v>69.363934426229505</v>
      </c>
      <c r="E498">
        <f t="shared" si="7"/>
        <v>92.785522674047272</v>
      </c>
    </row>
    <row r="499" spans="1:5" x14ac:dyDescent="0.25">
      <c r="A499" s="1">
        <v>45509</v>
      </c>
      <c r="B499">
        <v>98.791058122205655</v>
      </c>
      <c r="E499">
        <f t="shared" si="7"/>
        <v>92.485245901639331</v>
      </c>
    </row>
    <row r="500" spans="1:5" x14ac:dyDescent="0.25">
      <c r="A500" s="1">
        <v>45510</v>
      </c>
      <c r="B500">
        <v>107.19880774962742</v>
      </c>
      <c r="E500">
        <f t="shared" si="7"/>
        <v>92.184969129231419</v>
      </c>
    </row>
    <row r="501" spans="1:5" x14ac:dyDescent="0.25">
      <c r="A501" s="1">
        <v>45511</v>
      </c>
      <c r="B501">
        <v>111.40268256333829</v>
      </c>
      <c r="E501">
        <f t="shared" si="7"/>
        <v>93.386076218863096</v>
      </c>
    </row>
    <row r="502" spans="1:5" x14ac:dyDescent="0.25">
      <c r="A502" s="1">
        <v>45512</v>
      </c>
      <c r="B502">
        <v>109.30074515648286</v>
      </c>
      <c r="E502">
        <f t="shared" si="7"/>
        <v>93.686352991271022</v>
      </c>
    </row>
    <row r="503" spans="1:5" x14ac:dyDescent="0.25">
      <c r="A503" s="1">
        <v>45513</v>
      </c>
      <c r="B503">
        <v>98.791058122205655</v>
      </c>
      <c r="E503">
        <f t="shared" si="7"/>
        <v>94.887460080902699</v>
      </c>
    </row>
    <row r="504" spans="1:5" x14ac:dyDescent="0.25">
      <c r="A504" s="1">
        <v>45514</v>
      </c>
      <c r="B504">
        <v>71.465871833084947</v>
      </c>
      <c r="E504">
        <f t="shared" si="7"/>
        <v>95.187736853310625</v>
      </c>
    </row>
    <row r="505" spans="1:5" x14ac:dyDescent="0.25">
      <c r="A505" s="1">
        <v>45515</v>
      </c>
      <c r="B505">
        <v>75.669746646795829</v>
      </c>
      <c r="E505">
        <f t="shared" si="7"/>
        <v>96.088567170534375</v>
      </c>
    </row>
    <row r="506" spans="1:5" x14ac:dyDescent="0.25">
      <c r="A506" s="1">
        <v>45516</v>
      </c>
      <c r="B506">
        <v>115.60655737704917</v>
      </c>
      <c r="E506">
        <f t="shared" si="7"/>
        <v>98.490781349797743</v>
      </c>
    </row>
    <row r="507" spans="1:5" x14ac:dyDescent="0.25">
      <c r="A507" s="1">
        <v>45517</v>
      </c>
      <c r="B507">
        <v>115.60655737704917</v>
      </c>
      <c r="E507">
        <f t="shared" si="7"/>
        <v>99.691888439429405</v>
      </c>
    </row>
    <row r="508" spans="1:5" x14ac:dyDescent="0.25">
      <c r="A508" s="1">
        <v>45518</v>
      </c>
      <c r="B508">
        <v>113.50461997019373</v>
      </c>
      <c r="E508">
        <f t="shared" si="7"/>
        <v>99.992165211837346</v>
      </c>
    </row>
    <row r="509" spans="1:5" x14ac:dyDescent="0.25">
      <c r="A509" s="1">
        <v>45519</v>
      </c>
      <c r="B509">
        <v>119.81043219076005</v>
      </c>
      <c r="E509">
        <f t="shared" si="7"/>
        <v>101.49354907387693</v>
      </c>
    </row>
    <row r="510" spans="1:5" x14ac:dyDescent="0.25">
      <c r="A510" s="1">
        <v>45520</v>
      </c>
      <c r="B510">
        <v>102.99493293591654</v>
      </c>
      <c r="E510">
        <f t="shared" si="7"/>
        <v>102.09410261869277</v>
      </c>
    </row>
    <row r="511" spans="1:5" x14ac:dyDescent="0.25">
      <c r="A511" s="1">
        <v>45521</v>
      </c>
      <c r="B511">
        <v>75.669746646795829</v>
      </c>
      <c r="E511">
        <f t="shared" si="7"/>
        <v>102.69465616350861</v>
      </c>
    </row>
    <row r="512" spans="1:5" x14ac:dyDescent="0.25">
      <c r="A512" s="1">
        <v>45522</v>
      </c>
      <c r="B512">
        <v>81.975558867362139</v>
      </c>
      <c r="E512">
        <f t="shared" si="7"/>
        <v>103.59548648073236</v>
      </c>
    </row>
    <row r="513" spans="1:5" x14ac:dyDescent="0.25">
      <c r="A513" s="1">
        <v>45523</v>
      </c>
      <c r="B513">
        <v>117.70849478390461</v>
      </c>
      <c r="E513">
        <f t="shared" si="7"/>
        <v>103.89576325314029</v>
      </c>
    </row>
    <row r="514" spans="1:5" x14ac:dyDescent="0.25">
      <c r="A514" s="1">
        <v>45524</v>
      </c>
      <c r="B514">
        <v>136.62593144560356</v>
      </c>
      <c r="E514">
        <f t="shared" si="7"/>
        <v>106.89853097721949</v>
      </c>
    </row>
    <row r="515" spans="1:5" x14ac:dyDescent="0.25">
      <c r="A515" s="1">
        <v>45525</v>
      </c>
      <c r="B515">
        <v>142.93174366616989</v>
      </c>
      <c r="E515">
        <f t="shared" si="7"/>
        <v>111.10240579093036</v>
      </c>
    </row>
    <row r="516" spans="1:5" x14ac:dyDescent="0.25">
      <c r="A516" s="1">
        <v>45526</v>
      </c>
      <c r="B516">
        <v>132.4220566318927</v>
      </c>
      <c r="E516">
        <f t="shared" si="7"/>
        <v>112.90406642537791</v>
      </c>
    </row>
    <row r="517" spans="1:5" x14ac:dyDescent="0.25">
      <c r="A517" s="1">
        <v>45527</v>
      </c>
      <c r="B517">
        <v>115.60655737704917</v>
      </c>
      <c r="E517">
        <f t="shared" si="7"/>
        <v>114.70572705982542</v>
      </c>
    </row>
    <row r="518" spans="1:5" x14ac:dyDescent="0.25">
      <c r="A518" s="1">
        <v>45528</v>
      </c>
      <c r="B518">
        <v>81.975558867362139</v>
      </c>
      <c r="E518">
        <f t="shared" si="7"/>
        <v>115.60655737704917</v>
      </c>
    </row>
    <row r="519" spans="1:5" x14ac:dyDescent="0.25">
      <c r="A519" s="1">
        <v>45529</v>
      </c>
      <c r="B519">
        <v>86.179433681073021</v>
      </c>
      <c r="E519">
        <f t="shared" si="7"/>
        <v>116.20711092186502</v>
      </c>
    </row>
    <row r="520" spans="1:5" x14ac:dyDescent="0.25">
      <c r="A520" s="1">
        <v>45530</v>
      </c>
      <c r="B520">
        <v>128.21818181818182</v>
      </c>
      <c r="E520">
        <f t="shared" si="7"/>
        <v>117.7084947839046</v>
      </c>
    </row>
    <row r="521" spans="1:5" x14ac:dyDescent="0.25">
      <c r="A521" s="1">
        <v>45531</v>
      </c>
      <c r="B521">
        <v>138.72786885245901</v>
      </c>
      <c r="E521">
        <f t="shared" si="7"/>
        <v>118.00877155631255</v>
      </c>
    </row>
    <row r="522" spans="1:5" x14ac:dyDescent="0.25">
      <c r="A522" s="1">
        <v>45532</v>
      </c>
      <c r="B522">
        <v>149.2375558867362</v>
      </c>
      <c r="E522">
        <f t="shared" si="7"/>
        <v>118.90960187353629</v>
      </c>
    </row>
    <row r="523" spans="1:5" x14ac:dyDescent="0.25">
      <c r="A523" s="1">
        <v>45533</v>
      </c>
      <c r="B523">
        <v>140.82980625931444</v>
      </c>
      <c r="E523">
        <f t="shared" si="7"/>
        <v>120.11070896316798</v>
      </c>
    </row>
    <row r="524" spans="1:5" x14ac:dyDescent="0.25">
      <c r="A524" s="1">
        <v>45534</v>
      </c>
      <c r="B524">
        <v>126.11624441132636</v>
      </c>
      <c r="E524">
        <f t="shared" si="7"/>
        <v>121.61209282520758</v>
      </c>
    </row>
    <row r="525" spans="1:5" x14ac:dyDescent="0.25">
      <c r="A525" s="1">
        <v>45535</v>
      </c>
      <c r="B525">
        <v>86.179433681073021</v>
      </c>
      <c r="E525">
        <f t="shared" si="7"/>
        <v>122.21264637002342</v>
      </c>
    </row>
    <row r="526" spans="1:5" x14ac:dyDescent="0.25">
      <c r="A526" s="1">
        <v>45536</v>
      </c>
      <c r="B526">
        <v>92.485245901639331</v>
      </c>
      <c r="E526">
        <f t="shared" si="7"/>
        <v>123.11347668724717</v>
      </c>
    </row>
    <row r="527" spans="1:5" x14ac:dyDescent="0.25">
      <c r="A527" s="1">
        <v>45537</v>
      </c>
      <c r="B527">
        <v>134.52399403874813</v>
      </c>
      <c r="E527">
        <f t="shared" si="7"/>
        <v>124.01430700447092</v>
      </c>
    </row>
    <row r="528" spans="1:5" x14ac:dyDescent="0.25">
      <c r="A528" s="1">
        <v>45538</v>
      </c>
      <c r="B528">
        <v>151.33949329359166</v>
      </c>
      <c r="E528">
        <f t="shared" si="7"/>
        <v>125.81596763891845</v>
      </c>
    </row>
    <row r="529" spans="1:5" x14ac:dyDescent="0.25">
      <c r="A529" s="1">
        <v>45539</v>
      </c>
      <c r="B529">
        <v>151.33949329359166</v>
      </c>
      <c r="E529">
        <f t="shared" si="7"/>
        <v>126.11624441132638</v>
      </c>
    </row>
    <row r="530" spans="1:5" x14ac:dyDescent="0.25">
      <c r="A530" s="1">
        <v>45540</v>
      </c>
      <c r="B530">
        <v>149.2375558867362</v>
      </c>
      <c r="E530">
        <f t="shared" si="7"/>
        <v>127.31735150095805</v>
      </c>
    </row>
    <row r="531" spans="1:5" x14ac:dyDescent="0.25">
      <c r="A531" s="1">
        <v>45541</v>
      </c>
      <c r="B531">
        <v>132.4220566318927</v>
      </c>
      <c r="E531">
        <f t="shared" si="7"/>
        <v>128.21818181818182</v>
      </c>
    </row>
    <row r="532" spans="1:5" x14ac:dyDescent="0.25">
      <c r="A532" s="1">
        <v>45542</v>
      </c>
      <c r="B532">
        <v>88.281371087928463</v>
      </c>
      <c r="E532">
        <f t="shared" ref="E532:E595" si="8">AVERAGE(B526:B532)</f>
        <v>128.51845859058974</v>
      </c>
    </row>
    <row r="533" spans="1:5" x14ac:dyDescent="0.25">
      <c r="A533" s="1">
        <v>45543</v>
      </c>
      <c r="B533">
        <v>113.50461997019373</v>
      </c>
      <c r="E533">
        <f t="shared" si="8"/>
        <v>131.52122631466895</v>
      </c>
    </row>
    <row r="534" spans="1:5" x14ac:dyDescent="0.25">
      <c r="A534" s="1">
        <v>45544</v>
      </c>
      <c r="B534">
        <v>159.7472429210134</v>
      </c>
      <c r="E534">
        <f t="shared" si="8"/>
        <v>135.12454758356398</v>
      </c>
    </row>
    <row r="535" spans="1:5" x14ac:dyDescent="0.25">
      <c r="A535" s="1">
        <v>45545</v>
      </c>
      <c r="B535">
        <v>157.64530551415797</v>
      </c>
      <c r="E535">
        <f t="shared" si="8"/>
        <v>136.02537790078773</v>
      </c>
    </row>
    <row r="536" spans="1:5" x14ac:dyDescent="0.25">
      <c r="A536" s="1">
        <v>45546</v>
      </c>
      <c r="B536">
        <v>172.35886736214604</v>
      </c>
      <c r="E536">
        <f t="shared" si="8"/>
        <v>139.02814562486694</v>
      </c>
    </row>
    <row r="537" spans="1:5" x14ac:dyDescent="0.25">
      <c r="A537" s="1">
        <v>45547</v>
      </c>
      <c r="B537">
        <v>159.7472429210134</v>
      </c>
      <c r="E537">
        <f t="shared" si="8"/>
        <v>140.52952948690651</v>
      </c>
    </row>
    <row r="538" spans="1:5" x14ac:dyDescent="0.25">
      <c r="A538" s="1">
        <v>45548</v>
      </c>
      <c r="B538">
        <v>145.03368107302532</v>
      </c>
      <c r="E538">
        <f t="shared" si="8"/>
        <v>142.33119012135404</v>
      </c>
    </row>
    <row r="539" spans="1:5" x14ac:dyDescent="0.25">
      <c r="A539" s="1">
        <v>45549</v>
      </c>
      <c r="B539">
        <v>102.99493293591654</v>
      </c>
      <c r="E539">
        <f t="shared" si="8"/>
        <v>144.43312752820947</v>
      </c>
    </row>
    <row r="540" spans="1:5" x14ac:dyDescent="0.25">
      <c r="A540" s="1">
        <v>45550</v>
      </c>
      <c r="B540">
        <v>102.99493293591654</v>
      </c>
      <c r="E540">
        <f t="shared" si="8"/>
        <v>142.93174366616989</v>
      </c>
    </row>
    <row r="541" spans="1:5" x14ac:dyDescent="0.25">
      <c r="A541" s="1">
        <v>45551</v>
      </c>
      <c r="B541">
        <v>157.64530551415797</v>
      </c>
      <c r="E541">
        <f t="shared" si="8"/>
        <v>142.63146689376194</v>
      </c>
    </row>
    <row r="542" spans="1:5" x14ac:dyDescent="0.25">
      <c r="A542" s="1">
        <v>45552</v>
      </c>
      <c r="B542">
        <v>168.15499254843516</v>
      </c>
      <c r="E542">
        <f t="shared" si="8"/>
        <v>144.13285075580157</v>
      </c>
    </row>
    <row r="543" spans="1:5" x14ac:dyDescent="0.25">
      <c r="A543" s="1">
        <v>45553</v>
      </c>
      <c r="B543">
        <v>166.05305514157973</v>
      </c>
      <c r="E543">
        <f t="shared" si="8"/>
        <v>143.23202043857782</v>
      </c>
    </row>
    <row r="544" spans="1:5" x14ac:dyDescent="0.25">
      <c r="A544" s="1">
        <v>45554</v>
      </c>
      <c r="B544">
        <v>174.46080476900147</v>
      </c>
      <c r="E544">
        <f t="shared" si="8"/>
        <v>145.33395784543328</v>
      </c>
    </row>
    <row r="545" spans="1:5" x14ac:dyDescent="0.25">
      <c r="A545" s="1">
        <v>45555</v>
      </c>
      <c r="B545">
        <v>166.05305514157973</v>
      </c>
      <c r="E545">
        <f t="shared" si="8"/>
        <v>148.33672556951245</v>
      </c>
    </row>
    <row r="546" spans="1:5" x14ac:dyDescent="0.25">
      <c r="A546" s="1">
        <v>45556</v>
      </c>
      <c r="B546">
        <v>109.30074515648286</v>
      </c>
      <c r="E546">
        <f t="shared" si="8"/>
        <v>149.2375558867362</v>
      </c>
    </row>
    <row r="547" spans="1:5" x14ac:dyDescent="0.25">
      <c r="A547" s="1">
        <v>45557</v>
      </c>
      <c r="B547">
        <v>117.70849478390461</v>
      </c>
      <c r="E547">
        <f t="shared" si="8"/>
        <v>151.33949329359166</v>
      </c>
    </row>
    <row r="548" spans="1:5" x14ac:dyDescent="0.25">
      <c r="A548" s="1">
        <v>45558</v>
      </c>
      <c r="B548">
        <v>182.86855439642324</v>
      </c>
      <c r="E548">
        <f t="shared" si="8"/>
        <v>154.94281456248669</v>
      </c>
    </row>
    <row r="549" spans="1:5" x14ac:dyDescent="0.25">
      <c r="A549" s="1">
        <v>45559</v>
      </c>
      <c r="B549">
        <v>182.86855439642324</v>
      </c>
      <c r="E549">
        <f t="shared" si="8"/>
        <v>157.04475196934212</v>
      </c>
    </row>
    <row r="550" spans="1:5" x14ac:dyDescent="0.25">
      <c r="A550" s="1">
        <v>45560</v>
      </c>
      <c r="B550">
        <v>191.276304023845</v>
      </c>
      <c r="E550">
        <f t="shared" si="8"/>
        <v>160.64807323823717</v>
      </c>
    </row>
    <row r="551" spans="1:5" x14ac:dyDescent="0.25">
      <c r="A551" s="1">
        <v>45561</v>
      </c>
      <c r="B551">
        <v>180.76661698956781</v>
      </c>
      <c r="E551">
        <f t="shared" si="8"/>
        <v>161.5489035554609</v>
      </c>
    </row>
    <row r="552" spans="1:5" x14ac:dyDescent="0.25">
      <c r="A552" s="1">
        <v>45562</v>
      </c>
      <c r="B552">
        <v>151.33949329359166</v>
      </c>
      <c r="E552">
        <f t="shared" si="8"/>
        <v>159.4469661486055</v>
      </c>
    </row>
    <row r="553" spans="1:5" x14ac:dyDescent="0.25">
      <c r="A553" s="1">
        <v>45563</v>
      </c>
      <c r="B553">
        <v>117.70849478390461</v>
      </c>
      <c r="E553">
        <f t="shared" si="8"/>
        <v>160.64807323823717</v>
      </c>
    </row>
    <row r="554" spans="1:5" x14ac:dyDescent="0.25">
      <c r="A554" s="1">
        <v>45564</v>
      </c>
      <c r="B554">
        <v>119.81043219076005</v>
      </c>
      <c r="E554">
        <f t="shared" si="8"/>
        <v>160.9483500106451</v>
      </c>
    </row>
    <row r="555" spans="1:5" x14ac:dyDescent="0.25">
      <c r="A555" s="1">
        <v>45565</v>
      </c>
      <c r="B555">
        <v>182.86855439642324</v>
      </c>
      <c r="E555">
        <f t="shared" si="8"/>
        <v>160.94835001064507</v>
      </c>
    </row>
    <row r="556" spans="1:5" x14ac:dyDescent="0.25">
      <c r="A556" s="1">
        <v>45566</v>
      </c>
      <c r="B556">
        <v>189.17436661698954</v>
      </c>
      <c r="E556">
        <f t="shared" si="8"/>
        <v>161.84918032786885</v>
      </c>
    </row>
    <row r="557" spans="1:5" x14ac:dyDescent="0.25">
      <c r="A557" s="1">
        <v>45567</v>
      </c>
      <c r="B557">
        <v>172.35886736214604</v>
      </c>
      <c r="E557">
        <f t="shared" si="8"/>
        <v>159.14668937619757</v>
      </c>
    </row>
    <row r="558" spans="1:5" x14ac:dyDescent="0.25">
      <c r="A558" s="1">
        <v>45568</v>
      </c>
      <c r="B558">
        <v>170.25692995529059</v>
      </c>
      <c r="E558">
        <f t="shared" si="8"/>
        <v>157.64530551415797</v>
      </c>
    </row>
    <row r="559" spans="1:5" x14ac:dyDescent="0.25">
      <c r="A559" s="1">
        <v>45569</v>
      </c>
      <c r="B559">
        <v>168.15499254843516</v>
      </c>
      <c r="E559">
        <f t="shared" si="8"/>
        <v>160.04751969342132</v>
      </c>
    </row>
    <row r="560" spans="1:5" x14ac:dyDescent="0.25">
      <c r="A560" s="1">
        <v>45570</v>
      </c>
      <c r="B560">
        <v>111.40268256333829</v>
      </c>
      <c r="E560">
        <f t="shared" si="8"/>
        <v>159.14668937619757</v>
      </c>
    </row>
    <row r="561" spans="1:5" x14ac:dyDescent="0.25">
      <c r="A561" s="1">
        <v>45571</v>
      </c>
      <c r="B561">
        <v>121.91236959761549</v>
      </c>
      <c r="E561">
        <f t="shared" si="8"/>
        <v>159.4469661486055</v>
      </c>
    </row>
    <row r="562" spans="1:5" x14ac:dyDescent="0.25">
      <c r="A562" s="1">
        <v>45572</v>
      </c>
      <c r="B562">
        <v>174.46080476900147</v>
      </c>
      <c r="E562">
        <f t="shared" si="8"/>
        <v>158.24585905897382</v>
      </c>
    </row>
    <row r="563" spans="1:5" x14ac:dyDescent="0.25">
      <c r="A563" s="1">
        <v>45573</v>
      </c>
      <c r="B563">
        <v>187.07242921013412</v>
      </c>
      <c r="E563">
        <f t="shared" si="8"/>
        <v>157.94558228656589</v>
      </c>
    </row>
    <row r="564" spans="1:5" x14ac:dyDescent="0.25">
      <c r="A564" s="1">
        <v>45574</v>
      </c>
      <c r="B564">
        <v>184.97049180327866</v>
      </c>
      <c r="E564">
        <f t="shared" si="8"/>
        <v>159.7472429210134</v>
      </c>
    </row>
    <row r="565" spans="1:5" x14ac:dyDescent="0.25">
      <c r="A565" s="1">
        <v>45575</v>
      </c>
      <c r="B565">
        <v>187.07242921013412</v>
      </c>
      <c r="E565">
        <f t="shared" si="8"/>
        <v>162.14945710027675</v>
      </c>
    </row>
    <row r="566" spans="1:5" x14ac:dyDescent="0.25">
      <c r="A566" s="1">
        <v>45576</v>
      </c>
      <c r="B566">
        <v>159.7472429210134</v>
      </c>
      <c r="E566">
        <f t="shared" si="8"/>
        <v>160.9483500106451</v>
      </c>
    </row>
    <row r="567" spans="1:5" x14ac:dyDescent="0.25">
      <c r="A567" s="1">
        <v>45577</v>
      </c>
      <c r="B567">
        <v>117.70849478390461</v>
      </c>
      <c r="E567">
        <f t="shared" si="8"/>
        <v>161.84918032786885</v>
      </c>
    </row>
    <row r="568" spans="1:5" x14ac:dyDescent="0.25">
      <c r="A568" s="1">
        <v>45578</v>
      </c>
      <c r="B568">
        <v>136.62593144560356</v>
      </c>
      <c r="E568">
        <f t="shared" si="8"/>
        <v>163.95111773472425</v>
      </c>
    </row>
    <row r="569" spans="1:5" x14ac:dyDescent="0.25">
      <c r="A569" s="1">
        <v>45579</v>
      </c>
      <c r="B569">
        <v>189.17436661698954</v>
      </c>
      <c r="E569">
        <f t="shared" si="8"/>
        <v>166.0530551415797</v>
      </c>
    </row>
    <row r="570" spans="1:5" x14ac:dyDescent="0.25">
      <c r="A570" s="1">
        <v>45580</v>
      </c>
      <c r="B570">
        <v>199.68405365126677</v>
      </c>
      <c r="E570">
        <f t="shared" si="8"/>
        <v>167.85471577602723</v>
      </c>
    </row>
    <row r="571" spans="1:5" x14ac:dyDescent="0.25">
      <c r="A571" s="1">
        <v>45581</v>
      </c>
      <c r="B571">
        <v>199.68405365126677</v>
      </c>
      <c r="E571">
        <f t="shared" si="8"/>
        <v>169.95665318288269</v>
      </c>
    </row>
    <row r="572" spans="1:5" x14ac:dyDescent="0.25">
      <c r="A572" s="1">
        <v>45582</v>
      </c>
      <c r="B572">
        <v>199.68405365126677</v>
      </c>
      <c r="E572">
        <f t="shared" si="8"/>
        <v>171.75831381733022</v>
      </c>
    </row>
    <row r="573" spans="1:5" x14ac:dyDescent="0.25">
      <c r="A573" s="1">
        <v>45583</v>
      </c>
      <c r="B573">
        <v>174.46080476900147</v>
      </c>
      <c r="E573">
        <f t="shared" si="8"/>
        <v>173.86025122418567</v>
      </c>
    </row>
    <row r="574" spans="1:5" x14ac:dyDescent="0.25">
      <c r="A574" s="1">
        <v>45584</v>
      </c>
      <c r="B574">
        <v>119.81043219076005</v>
      </c>
      <c r="E574">
        <f t="shared" si="8"/>
        <v>174.1605279965936</v>
      </c>
    </row>
    <row r="575" spans="1:5" x14ac:dyDescent="0.25">
      <c r="A575" s="1">
        <v>45585</v>
      </c>
      <c r="B575">
        <v>136.62593144560356</v>
      </c>
      <c r="E575">
        <f t="shared" si="8"/>
        <v>174.16052799659357</v>
      </c>
    </row>
    <row r="576" spans="1:5" x14ac:dyDescent="0.25">
      <c r="A576" s="1">
        <v>45586</v>
      </c>
      <c r="B576">
        <v>201.78599105812219</v>
      </c>
      <c r="E576">
        <f t="shared" si="8"/>
        <v>175.96218863104107</v>
      </c>
    </row>
    <row r="577" spans="1:5" x14ac:dyDescent="0.25">
      <c r="A577" s="1">
        <v>45587</v>
      </c>
      <c r="B577">
        <v>205.98986587183308</v>
      </c>
      <c r="E577">
        <f t="shared" si="8"/>
        <v>176.86301894826482</v>
      </c>
    </row>
    <row r="578" spans="1:5" x14ac:dyDescent="0.25">
      <c r="A578" s="1">
        <v>45588</v>
      </c>
      <c r="B578">
        <v>208.0918032786885</v>
      </c>
      <c r="E578">
        <f t="shared" si="8"/>
        <v>178.06412603789653</v>
      </c>
    </row>
    <row r="579" spans="1:5" x14ac:dyDescent="0.25">
      <c r="A579" s="1">
        <v>45589</v>
      </c>
      <c r="B579">
        <v>203.88792846497762</v>
      </c>
      <c r="E579">
        <f t="shared" si="8"/>
        <v>178.66467958271235</v>
      </c>
    </row>
    <row r="580" spans="1:5" x14ac:dyDescent="0.25">
      <c r="A580" s="1">
        <v>45590</v>
      </c>
      <c r="B580">
        <v>178.66467958271235</v>
      </c>
      <c r="E580">
        <f t="shared" si="8"/>
        <v>179.26523312752821</v>
      </c>
    </row>
    <row r="581" spans="1:5" x14ac:dyDescent="0.25">
      <c r="A581" s="1">
        <v>45591</v>
      </c>
      <c r="B581">
        <v>128.21818181818182</v>
      </c>
      <c r="E581">
        <f t="shared" si="8"/>
        <v>180.46634021715985</v>
      </c>
    </row>
    <row r="582" spans="1:5" x14ac:dyDescent="0.25">
      <c r="A582" s="1">
        <v>45592</v>
      </c>
      <c r="B582">
        <v>134.52399403874813</v>
      </c>
      <c r="E582">
        <f t="shared" si="8"/>
        <v>180.16606344475193</v>
      </c>
    </row>
    <row r="583" spans="1:5" x14ac:dyDescent="0.25">
      <c r="A583" s="1">
        <v>45593</v>
      </c>
      <c r="B583">
        <v>201.78599105812219</v>
      </c>
      <c r="E583">
        <f t="shared" si="8"/>
        <v>180.16606344475196</v>
      </c>
    </row>
    <row r="584" spans="1:5" x14ac:dyDescent="0.25">
      <c r="A584" s="1">
        <v>45594</v>
      </c>
      <c r="B584">
        <v>198.98340784898161</v>
      </c>
      <c r="E584">
        <f t="shared" si="8"/>
        <v>179.16514087005888</v>
      </c>
    </row>
    <row r="585" spans="1:5" x14ac:dyDescent="0.25">
      <c r="A585" s="1">
        <v>45595</v>
      </c>
      <c r="B585">
        <v>184.97049180327866</v>
      </c>
      <c r="E585">
        <f t="shared" si="8"/>
        <v>175.8620963735718</v>
      </c>
    </row>
    <row r="586" spans="1:5" x14ac:dyDescent="0.25">
      <c r="A586" s="1">
        <v>45596</v>
      </c>
      <c r="B586">
        <v>184.97049180327866</v>
      </c>
      <c r="E586">
        <f t="shared" si="8"/>
        <v>173.15960542190052</v>
      </c>
    </row>
    <row r="587" spans="1:5" x14ac:dyDescent="0.25">
      <c r="A587" s="1">
        <v>45597</v>
      </c>
      <c r="B587">
        <v>154.14207650273224</v>
      </c>
      <c r="E587">
        <f t="shared" si="8"/>
        <v>169.65637641047473</v>
      </c>
    </row>
    <row r="588" spans="1:5" x14ac:dyDescent="0.25">
      <c r="A588" s="1">
        <v>45598</v>
      </c>
      <c r="B588">
        <v>123.31366120218578</v>
      </c>
      <c r="E588">
        <f t="shared" si="8"/>
        <v>168.95573060818961</v>
      </c>
    </row>
    <row r="589" spans="1:5" x14ac:dyDescent="0.25">
      <c r="A589" s="1">
        <v>45599</v>
      </c>
      <c r="B589">
        <v>140.12916045702929</v>
      </c>
      <c r="E589">
        <f t="shared" si="8"/>
        <v>169.75646866794406</v>
      </c>
    </row>
    <row r="590" spans="1:5" x14ac:dyDescent="0.25">
      <c r="A590" s="1">
        <v>45600</v>
      </c>
      <c r="B590">
        <v>196.18082463984103</v>
      </c>
      <c r="E590">
        <f t="shared" si="8"/>
        <v>168.95573060818964</v>
      </c>
    </row>
    <row r="591" spans="1:5" x14ac:dyDescent="0.25">
      <c r="A591" s="1">
        <v>45601</v>
      </c>
      <c r="B591">
        <v>204.58857426726277</v>
      </c>
      <c r="E591">
        <f t="shared" si="8"/>
        <v>169.75646866794406</v>
      </c>
    </row>
    <row r="592" spans="1:5" x14ac:dyDescent="0.25">
      <c r="A592" s="1">
        <v>45602</v>
      </c>
      <c r="B592">
        <v>190.57565822155985</v>
      </c>
      <c r="E592">
        <f t="shared" si="8"/>
        <v>170.55720672769851</v>
      </c>
    </row>
    <row r="593" spans="1:5" x14ac:dyDescent="0.25">
      <c r="A593" s="1">
        <v>45603</v>
      </c>
      <c r="B593">
        <v>212.99632389468454</v>
      </c>
      <c r="E593">
        <f t="shared" si="8"/>
        <v>174.56089702647077</v>
      </c>
    </row>
    <row r="594" spans="1:5" x14ac:dyDescent="0.25">
      <c r="A594" s="1">
        <v>45604</v>
      </c>
      <c r="B594">
        <v>190.57565822155985</v>
      </c>
      <c r="E594">
        <f t="shared" si="8"/>
        <v>179.76569441487473</v>
      </c>
    </row>
    <row r="595" spans="1:5" x14ac:dyDescent="0.25">
      <c r="A595" s="1">
        <v>45605</v>
      </c>
      <c r="B595">
        <v>142.93174366616989</v>
      </c>
      <c r="E595">
        <f t="shared" si="8"/>
        <v>182.56827762401534</v>
      </c>
    </row>
    <row r="596" spans="1:5" x14ac:dyDescent="0.25">
      <c r="A596" s="1">
        <v>45606</v>
      </c>
      <c r="B596">
        <v>145.73432687531047</v>
      </c>
      <c r="E596">
        <f t="shared" ref="E596:E659" si="9">AVERAGE(B590:B596)</f>
        <v>183.36901568376976</v>
      </c>
    </row>
    <row r="597" spans="1:5" x14ac:dyDescent="0.25">
      <c r="A597" s="1">
        <v>45607</v>
      </c>
      <c r="B597">
        <v>207.39115747640335</v>
      </c>
      <c r="E597">
        <f t="shared" si="9"/>
        <v>184.97049180327866</v>
      </c>
    </row>
    <row r="598" spans="1:5" x14ac:dyDescent="0.25">
      <c r="A598" s="1">
        <v>45608</v>
      </c>
      <c r="B598">
        <v>229.81182314952804</v>
      </c>
      <c r="E598">
        <f t="shared" si="9"/>
        <v>188.57381307217369</v>
      </c>
    </row>
    <row r="599" spans="1:5" x14ac:dyDescent="0.25">
      <c r="A599" s="1">
        <v>45609</v>
      </c>
      <c r="B599">
        <v>229.81182314952804</v>
      </c>
      <c r="E599">
        <f t="shared" si="9"/>
        <v>194.17897949045485</v>
      </c>
    </row>
    <row r="600" spans="1:5" x14ac:dyDescent="0.25">
      <c r="A600" s="1">
        <v>45610</v>
      </c>
      <c r="B600">
        <v>212.99632389468454</v>
      </c>
      <c r="E600">
        <f t="shared" si="9"/>
        <v>194.17897949045488</v>
      </c>
    </row>
    <row r="601" spans="1:5" x14ac:dyDescent="0.25">
      <c r="A601" s="1">
        <v>45611</v>
      </c>
      <c r="B601">
        <v>170.95757575757574</v>
      </c>
      <c r="E601">
        <f t="shared" si="9"/>
        <v>191.3763962813143</v>
      </c>
    </row>
    <row r="602" spans="1:5" x14ac:dyDescent="0.25">
      <c r="A602" s="1">
        <v>45612</v>
      </c>
      <c r="B602">
        <v>131.72141082960755</v>
      </c>
      <c r="E602">
        <f t="shared" si="9"/>
        <v>189.77492016180537</v>
      </c>
    </row>
    <row r="603" spans="1:5" x14ac:dyDescent="0.25">
      <c r="A603" s="1">
        <v>45613</v>
      </c>
      <c r="B603">
        <v>154.14207650273224</v>
      </c>
      <c r="E603">
        <f t="shared" si="9"/>
        <v>190.97602725143705</v>
      </c>
    </row>
    <row r="604" spans="1:5" x14ac:dyDescent="0.25">
      <c r="A604" s="1">
        <v>45614</v>
      </c>
      <c r="B604">
        <v>227.00923994038746</v>
      </c>
      <c r="E604">
        <f t="shared" si="9"/>
        <v>193.77861046057765</v>
      </c>
    </row>
    <row r="605" spans="1:5" x14ac:dyDescent="0.25">
      <c r="A605" s="1">
        <v>45615</v>
      </c>
      <c r="B605">
        <v>224.20665673124688</v>
      </c>
      <c r="E605">
        <f t="shared" si="9"/>
        <v>192.9778724008232</v>
      </c>
    </row>
    <row r="606" spans="1:5" x14ac:dyDescent="0.25">
      <c r="A606" s="1">
        <v>45616</v>
      </c>
      <c r="B606">
        <v>224.20665673124688</v>
      </c>
      <c r="E606">
        <f t="shared" si="9"/>
        <v>192.17713434106872</v>
      </c>
    </row>
    <row r="607" spans="1:5" x14ac:dyDescent="0.25">
      <c r="A607" s="1">
        <v>45617</v>
      </c>
      <c r="B607">
        <v>221.4040735221063</v>
      </c>
      <c r="E607">
        <f t="shared" si="9"/>
        <v>193.37824143070043</v>
      </c>
    </row>
    <row r="608" spans="1:5" x14ac:dyDescent="0.25">
      <c r="A608" s="1">
        <v>45618</v>
      </c>
      <c r="B608">
        <v>193.37824143070043</v>
      </c>
      <c r="E608">
        <f t="shared" si="9"/>
        <v>196.58119366971826</v>
      </c>
    </row>
    <row r="609" spans="1:5" x14ac:dyDescent="0.25">
      <c r="A609" s="1">
        <v>45619</v>
      </c>
      <c r="B609">
        <v>134.52399403874813</v>
      </c>
      <c r="E609">
        <f t="shared" si="9"/>
        <v>196.98156269959549</v>
      </c>
    </row>
    <row r="610" spans="1:5" x14ac:dyDescent="0.25">
      <c r="A610" s="1">
        <v>45620</v>
      </c>
      <c r="B610">
        <v>145.73432687531047</v>
      </c>
      <c r="E610">
        <f t="shared" si="9"/>
        <v>195.78045560996378</v>
      </c>
    </row>
    <row r="611" spans="1:5" x14ac:dyDescent="0.25">
      <c r="A611" s="1">
        <v>45621</v>
      </c>
      <c r="B611">
        <v>215.79890710382512</v>
      </c>
      <c r="E611">
        <f t="shared" si="9"/>
        <v>194.17897949045488</v>
      </c>
    </row>
    <row r="612" spans="1:5" x14ac:dyDescent="0.25">
      <c r="A612" s="1">
        <v>45622</v>
      </c>
      <c r="B612">
        <v>218.60149031296572</v>
      </c>
      <c r="E612">
        <f t="shared" si="9"/>
        <v>193.37824143070043</v>
      </c>
    </row>
    <row r="613" spans="1:5" x14ac:dyDescent="0.25">
      <c r="A613" s="1">
        <v>45623</v>
      </c>
      <c r="B613">
        <v>201.78599105812219</v>
      </c>
      <c r="E613">
        <f t="shared" si="9"/>
        <v>190.17528919168262</v>
      </c>
    </row>
    <row r="614" spans="1:5" x14ac:dyDescent="0.25">
      <c r="A614" s="1">
        <v>45624</v>
      </c>
      <c r="B614">
        <v>196.18082463984103</v>
      </c>
      <c r="E614">
        <f t="shared" si="9"/>
        <v>186.57196792278759</v>
      </c>
    </row>
    <row r="615" spans="1:5" x14ac:dyDescent="0.25">
      <c r="A615" s="1">
        <v>45625</v>
      </c>
      <c r="B615">
        <v>176.56274217585693</v>
      </c>
      <c r="E615">
        <f t="shared" si="9"/>
        <v>184.16975374352424</v>
      </c>
    </row>
    <row r="616" spans="1:5" x14ac:dyDescent="0.25">
      <c r="A616" s="1">
        <v>45626</v>
      </c>
      <c r="B616">
        <v>126.11624441132636</v>
      </c>
      <c r="E616">
        <f t="shared" si="9"/>
        <v>182.96864665389253</v>
      </c>
    </row>
    <row r="617" spans="1:5" x14ac:dyDescent="0.25">
      <c r="A617" s="1">
        <v>45627</v>
      </c>
      <c r="B617">
        <v>151.33949329359166</v>
      </c>
      <c r="E617">
        <f t="shared" si="9"/>
        <v>183.76938471364699</v>
      </c>
    </row>
    <row r="618" spans="1:5" x14ac:dyDescent="0.25">
      <c r="A618" s="1">
        <v>45628</v>
      </c>
      <c r="B618">
        <v>210.19374068554396</v>
      </c>
      <c r="E618">
        <f t="shared" si="9"/>
        <v>182.96864665389253</v>
      </c>
    </row>
    <row r="619" spans="1:5" x14ac:dyDescent="0.25">
      <c r="A619" s="1">
        <v>45629</v>
      </c>
      <c r="B619">
        <v>215.79890710382512</v>
      </c>
      <c r="E619">
        <f t="shared" si="9"/>
        <v>182.56827762401534</v>
      </c>
    </row>
    <row r="620" spans="1:5" x14ac:dyDescent="0.25">
      <c r="A620" s="1">
        <v>45630</v>
      </c>
      <c r="B620">
        <v>215.79890710382512</v>
      </c>
      <c r="E620">
        <f t="shared" si="9"/>
        <v>184.57012277340144</v>
      </c>
    </row>
    <row r="621" spans="1:5" x14ac:dyDescent="0.25">
      <c r="A621" s="1">
        <v>45631</v>
      </c>
      <c r="B621">
        <v>215.79890710382512</v>
      </c>
      <c r="E621">
        <f t="shared" si="9"/>
        <v>187.37270598254204</v>
      </c>
    </row>
    <row r="622" spans="1:5" x14ac:dyDescent="0.25">
      <c r="A622" s="1">
        <v>45632</v>
      </c>
      <c r="B622">
        <v>176.56274217585693</v>
      </c>
      <c r="E622">
        <f t="shared" si="9"/>
        <v>187.37270598254204</v>
      </c>
    </row>
    <row r="623" spans="1:5" x14ac:dyDescent="0.25">
      <c r="A623" s="1">
        <v>45633</v>
      </c>
      <c r="B623">
        <v>134.52399403874813</v>
      </c>
      <c r="E623">
        <f t="shared" si="9"/>
        <v>188.57381307217369</v>
      </c>
    </row>
    <row r="624" spans="1:5" x14ac:dyDescent="0.25">
      <c r="A624" s="1">
        <v>45634</v>
      </c>
      <c r="B624">
        <v>140.12916045702929</v>
      </c>
      <c r="E624">
        <f t="shared" si="9"/>
        <v>186.97233695266479</v>
      </c>
    </row>
    <row r="625" spans="1:5" x14ac:dyDescent="0.25">
      <c r="A625" s="1">
        <v>45635</v>
      </c>
      <c r="B625">
        <v>210.19374068554396</v>
      </c>
      <c r="E625">
        <f t="shared" si="9"/>
        <v>186.97233695266479</v>
      </c>
    </row>
    <row r="626" spans="1:5" x14ac:dyDescent="0.25">
      <c r="A626" s="1">
        <v>45636</v>
      </c>
      <c r="B626">
        <v>215.79890710382512</v>
      </c>
      <c r="E626">
        <f t="shared" si="9"/>
        <v>186.97233695266479</v>
      </c>
    </row>
    <row r="627" spans="1:5" x14ac:dyDescent="0.25">
      <c r="A627" s="1">
        <v>45637</v>
      </c>
      <c r="B627">
        <v>218.60149031296572</v>
      </c>
      <c r="E627">
        <f t="shared" si="9"/>
        <v>187.37270598254207</v>
      </c>
    </row>
    <row r="628" spans="1:5" x14ac:dyDescent="0.25">
      <c r="A628" s="1">
        <v>45638</v>
      </c>
      <c r="B628">
        <v>271.85057128663686</v>
      </c>
      <c r="E628">
        <f t="shared" si="9"/>
        <v>195.38008658008656</v>
      </c>
    </row>
    <row r="629" spans="1:5" x14ac:dyDescent="0.25">
      <c r="A629" s="1">
        <v>45639</v>
      </c>
      <c r="B629">
        <v>176.56274217585693</v>
      </c>
      <c r="E629">
        <f t="shared" si="9"/>
        <v>195.38008658008658</v>
      </c>
    </row>
    <row r="630" spans="1:5" x14ac:dyDescent="0.25">
      <c r="A630" s="1">
        <v>45640</v>
      </c>
      <c r="B630">
        <v>131.72141082960755</v>
      </c>
      <c r="E630">
        <f t="shared" si="9"/>
        <v>194.97971755020936</v>
      </c>
    </row>
    <row r="631" spans="1:5" x14ac:dyDescent="0.25">
      <c r="A631" s="1">
        <v>45641</v>
      </c>
      <c r="B631">
        <v>137.32657724788871</v>
      </c>
      <c r="E631">
        <f t="shared" si="9"/>
        <v>194.57934852033213</v>
      </c>
    </row>
    <row r="632" spans="1:5" x14ac:dyDescent="0.25">
      <c r="A632" s="1">
        <v>45642</v>
      </c>
      <c r="B632">
        <v>190.57565822155985</v>
      </c>
      <c r="E632">
        <f t="shared" si="9"/>
        <v>191.77676531119155</v>
      </c>
    </row>
    <row r="633" spans="1:5" x14ac:dyDescent="0.25">
      <c r="A633" s="1">
        <v>45643</v>
      </c>
      <c r="B633">
        <v>196.18082463984103</v>
      </c>
      <c r="E633">
        <f t="shared" si="9"/>
        <v>188.97418210205095</v>
      </c>
    </row>
    <row r="634" spans="1:5" x14ac:dyDescent="0.25">
      <c r="A634" s="1">
        <v>45644</v>
      </c>
      <c r="B634">
        <v>182.16790859413808</v>
      </c>
      <c r="E634">
        <f t="shared" si="9"/>
        <v>183.76938471364699</v>
      </c>
    </row>
    <row r="635" spans="1:5" x14ac:dyDescent="0.25">
      <c r="A635" s="1">
        <v>45645</v>
      </c>
      <c r="B635">
        <v>182.16790859413808</v>
      </c>
      <c r="E635">
        <f t="shared" si="9"/>
        <v>170.95757575757574</v>
      </c>
    </row>
    <row r="636" spans="1:5" x14ac:dyDescent="0.25">
      <c r="A636" s="1">
        <v>45646</v>
      </c>
      <c r="B636">
        <v>168.15499254843516</v>
      </c>
      <c r="E636">
        <f t="shared" si="9"/>
        <v>169.75646866794406</v>
      </c>
    </row>
    <row r="637" spans="1:5" x14ac:dyDescent="0.25">
      <c r="A637" s="1">
        <v>45647</v>
      </c>
      <c r="B637">
        <v>109.30074515648286</v>
      </c>
      <c r="E637">
        <f t="shared" si="9"/>
        <v>166.55351642892626</v>
      </c>
    </row>
    <row r="638" spans="1:5" x14ac:dyDescent="0.25">
      <c r="A638" s="1">
        <v>45648</v>
      </c>
      <c r="B638">
        <v>112.10332836562344</v>
      </c>
      <c r="E638">
        <f t="shared" si="9"/>
        <v>162.9501951600312</v>
      </c>
    </row>
    <row r="639" spans="1:5" x14ac:dyDescent="0.25">
      <c r="A639" s="1">
        <v>45649</v>
      </c>
      <c r="B639">
        <v>142.93174366616989</v>
      </c>
      <c r="E639">
        <f t="shared" si="9"/>
        <v>156.14392165211839</v>
      </c>
    </row>
    <row r="640" spans="1:5" x14ac:dyDescent="0.25">
      <c r="A640" s="1">
        <v>45650</v>
      </c>
      <c r="B640">
        <v>140.12916045702929</v>
      </c>
      <c r="E640">
        <f t="shared" si="9"/>
        <v>148.13654105457383</v>
      </c>
    </row>
    <row r="641" spans="1:5" x14ac:dyDescent="0.25">
      <c r="A641" s="1">
        <v>45651</v>
      </c>
      <c r="B641">
        <v>114.90591157476402</v>
      </c>
      <c r="E641">
        <f t="shared" si="9"/>
        <v>138.52768433752038</v>
      </c>
    </row>
    <row r="642" spans="1:5" x14ac:dyDescent="0.25">
      <c r="A642" s="1">
        <v>45652</v>
      </c>
      <c r="B642">
        <v>168.15499254843516</v>
      </c>
      <c r="E642">
        <f t="shared" si="9"/>
        <v>136.52583918813426</v>
      </c>
    </row>
    <row r="643" spans="1:5" x14ac:dyDescent="0.25">
      <c r="A643" s="1">
        <v>45653</v>
      </c>
      <c r="B643">
        <v>131.72141082960755</v>
      </c>
      <c r="E643">
        <f t="shared" si="9"/>
        <v>131.32104179973032</v>
      </c>
    </row>
    <row r="644" spans="1:5" x14ac:dyDescent="0.25">
      <c r="A644" s="1">
        <v>45654</v>
      </c>
      <c r="B644">
        <v>100.8929955290611</v>
      </c>
      <c r="E644">
        <f t="shared" si="9"/>
        <v>130.11993471009865</v>
      </c>
    </row>
    <row r="645" spans="1:5" x14ac:dyDescent="0.25">
      <c r="A645" s="1">
        <v>45655</v>
      </c>
      <c r="B645">
        <v>103.69557873820168</v>
      </c>
      <c r="E645">
        <f t="shared" si="9"/>
        <v>128.91882762046694</v>
      </c>
    </row>
    <row r="646" spans="1:5" x14ac:dyDescent="0.25">
      <c r="A646" s="1">
        <v>45656</v>
      </c>
      <c r="B646">
        <v>128.91882762046697</v>
      </c>
      <c r="E646">
        <f t="shared" si="9"/>
        <v>126.91698247108083</v>
      </c>
    </row>
    <row r="647" spans="1:5" x14ac:dyDescent="0.25">
      <c r="A647" s="1">
        <v>45657</v>
      </c>
      <c r="B647">
        <v>117.70849478390461</v>
      </c>
      <c r="E647">
        <f t="shared" si="9"/>
        <v>123.714030232063</v>
      </c>
    </row>
    <row r="648" spans="1:5" x14ac:dyDescent="0.25">
      <c r="A648" s="1">
        <v>45658</v>
      </c>
      <c r="B648">
        <v>103.69557873820168</v>
      </c>
      <c r="E648">
        <f t="shared" si="9"/>
        <v>122.11255411255411</v>
      </c>
    </row>
    <row r="649" spans="1:5" x14ac:dyDescent="0.25">
      <c r="A649" s="1">
        <v>45659</v>
      </c>
      <c r="B649">
        <v>145.73432687531047</v>
      </c>
      <c r="E649">
        <f t="shared" si="9"/>
        <v>118.90960187353629</v>
      </c>
    </row>
    <row r="650" spans="1:5" x14ac:dyDescent="0.25">
      <c r="A650" s="1">
        <v>45660</v>
      </c>
      <c r="B650">
        <v>137.32657724788871</v>
      </c>
      <c r="E650">
        <f t="shared" si="9"/>
        <v>119.71033993329074</v>
      </c>
    </row>
    <row r="651" spans="1:5" x14ac:dyDescent="0.25">
      <c r="A651" s="1">
        <v>45661</v>
      </c>
      <c r="B651">
        <v>120.51107799304521</v>
      </c>
      <c r="E651">
        <f t="shared" si="9"/>
        <v>122.51292314243133</v>
      </c>
    </row>
    <row r="652" spans="1:5" x14ac:dyDescent="0.25">
      <c r="A652" s="1">
        <v>45662</v>
      </c>
      <c r="B652">
        <v>117.70849478390461</v>
      </c>
      <c r="E652">
        <f t="shared" si="9"/>
        <v>124.51476829181748</v>
      </c>
    </row>
    <row r="653" spans="1:5" x14ac:dyDescent="0.25">
      <c r="A653" s="1">
        <v>45663</v>
      </c>
      <c r="B653">
        <v>173.76015896671635</v>
      </c>
      <c r="E653">
        <f t="shared" si="9"/>
        <v>130.9206727698531</v>
      </c>
    </row>
    <row r="654" spans="1:5" x14ac:dyDescent="0.25">
      <c r="A654" s="1">
        <v>45664</v>
      </c>
      <c r="B654">
        <v>190.57565822155985</v>
      </c>
      <c r="E654">
        <f t="shared" si="9"/>
        <v>141.33026754666099</v>
      </c>
    </row>
    <row r="655" spans="1:5" x14ac:dyDescent="0.25">
      <c r="A655" s="1">
        <v>45665</v>
      </c>
      <c r="B655">
        <v>196.18082463984103</v>
      </c>
      <c r="E655">
        <f t="shared" si="9"/>
        <v>154.54244553260946</v>
      </c>
    </row>
    <row r="656" spans="1:5" x14ac:dyDescent="0.25">
      <c r="A656" s="1">
        <v>45666</v>
      </c>
      <c r="B656">
        <v>190.57565822155985</v>
      </c>
      <c r="E656">
        <f t="shared" si="9"/>
        <v>160.9483500106451</v>
      </c>
    </row>
    <row r="657" spans="1:5" x14ac:dyDescent="0.25">
      <c r="A657" s="1">
        <v>45667</v>
      </c>
      <c r="B657">
        <v>168.15499254843516</v>
      </c>
      <c r="E657">
        <f t="shared" si="9"/>
        <v>165.35240933929458</v>
      </c>
    </row>
    <row r="658" spans="1:5" x14ac:dyDescent="0.25">
      <c r="A658" s="1">
        <v>45668</v>
      </c>
      <c r="B658">
        <v>123.31366120218578</v>
      </c>
      <c r="E658">
        <f t="shared" si="9"/>
        <v>165.75277836917181</v>
      </c>
    </row>
    <row r="659" spans="1:5" x14ac:dyDescent="0.25">
      <c r="A659" s="1">
        <v>45669</v>
      </c>
      <c r="B659">
        <v>131.72141082960755</v>
      </c>
      <c r="E659">
        <f t="shared" si="9"/>
        <v>167.75462351855793</v>
      </c>
    </row>
    <row r="660" spans="1:5" x14ac:dyDescent="0.25">
      <c r="A660" s="1">
        <v>45670</v>
      </c>
      <c r="B660">
        <v>190.57565822155985</v>
      </c>
      <c r="E660">
        <f t="shared" ref="E660:E723" si="10">AVERAGE(B654:B660)</f>
        <v>170.15683769782132</v>
      </c>
    </row>
    <row r="661" spans="1:5" x14ac:dyDescent="0.25">
      <c r="A661" s="1">
        <v>45671</v>
      </c>
      <c r="B661">
        <v>198.98340784898161</v>
      </c>
      <c r="E661">
        <f t="shared" si="10"/>
        <v>171.35794478745296</v>
      </c>
    </row>
    <row r="662" spans="1:5" x14ac:dyDescent="0.25">
      <c r="A662" s="1">
        <v>45672</v>
      </c>
      <c r="B662">
        <v>196.18082463984103</v>
      </c>
      <c r="E662">
        <f t="shared" si="10"/>
        <v>171.35794478745296</v>
      </c>
    </row>
    <row r="663" spans="1:5" x14ac:dyDescent="0.25">
      <c r="A663" s="1">
        <v>45673</v>
      </c>
      <c r="B663">
        <v>196.18082463984103</v>
      </c>
      <c r="E663">
        <f t="shared" si="10"/>
        <v>172.15868284720744</v>
      </c>
    </row>
    <row r="664" spans="1:5" x14ac:dyDescent="0.25">
      <c r="A664" s="1">
        <v>45674</v>
      </c>
      <c r="B664">
        <v>179.3653253849975</v>
      </c>
      <c r="E664">
        <f t="shared" si="10"/>
        <v>173.76015896671632</v>
      </c>
    </row>
    <row r="665" spans="1:5" x14ac:dyDescent="0.25">
      <c r="A665" s="1">
        <v>45675</v>
      </c>
      <c r="B665">
        <v>126.11624441132636</v>
      </c>
      <c r="E665">
        <f t="shared" si="10"/>
        <v>174.16052799659354</v>
      </c>
    </row>
    <row r="666" spans="1:5" x14ac:dyDescent="0.25">
      <c r="A666" s="1">
        <v>45676</v>
      </c>
      <c r="B666">
        <v>131.72141082960755</v>
      </c>
      <c r="E666">
        <f t="shared" si="10"/>
        <v>174.16052799659357</v>
      </c>
    </row>
    <row r="667" spans="1:5" x14ac:dyDescent="0.25">
      <c r="A667" s="1">
        <v>45677</v>
      </c>
      <c r="B667">
        <v>196.18082463984103</v>
      </c>
      <c r="E667">
        <f t="shared" si="10"/>
        <v>174.96126605634799</v>
      </c>
    </row>
    <row r="668" spans="1:5" x14ac:dyDescent="0.25">
      <c r="A668" s="1">
        <v>45678</v>
      </c>
      <c r="B668">
        <v>201.78599105812219</v>
      </c>
      <c r="E668">
        <f t="shared" si="10"/>
        <v>175.36163508622522</v>
      </c>
    </row>
    <row r="669" spans="1:5" x14ac:dyDescent="0.25">
      <c r="A669" s="1">
        <v>45679</v>
      </c>
      <c r="B669">
        <v>201.78599105812219</v>
      </c>
      <c r="E669">
        <f t="shared" si="10"/>
        <v>176.1623731459797</v>
      </c>
    </row>
    <row r="670" spans="1:5" x14ac:dyDescent="0.25">
      <c r="A670" s="1">
        <v>45680</v>
      </c>
      <c r="B670">
        <v>280.25832091405857</v>
      </c>
      <c r="E670">
        <f t="shared" si="10"/>
        <v>188.17344404229647</v>
      </c>
    </row>
    <row r="671" spans="1:5" x14ac:dyDescent="0.25">
      <c r="A671" s="1">
        <v>45681</v>
      </c>
      <c r="B671">
        <v>182.16790859413808</v>
      </c>
      <c r="E671">
        <f t="shared" si="10"/>
        <v>188.57381307217366</v>
      </c>
    </row>
    <row r="672" spans="1:5" x14ac:dyDescent="0.25">
      <c r="A672" s="1">
        <v>45682</v>
      </c>
      <c r="B672">
        <v>123.31366120218578</v>
      </c>
      <c r="E672">
        <f t="shared" si="10"/>
        <v>188.1734440422965</v>
      </c>
    </row>
    <row r="673" spans="1:5" x14ac:dyDescent="0.25">
      <c r="A673" s="1">
        <v>45683</v>
      </c>
      <c r="B673">
        <v>134.52399403874813</v>
      </c>
      <c r="E673">
        <f t="shared" si="10"/>
        <v>188.57381307217369</v>
      </c>
    </row>
    <row r="674" spans="1:5" x14ac:dyDescent="0.25">
      <c r="A674" s="1">
        <v>45684</v>
      </c>
      <c r="B674">
        <v>201.78599105812219</v>
      </c>
      <c r="E674">
        <f t="shared" si="10"/>
        <v>189.37455113192817</v>
      </c>
    </row>
    <row r="675" spans="1:5" x14ac:dyDescent="0.25">
      <c r="A675" s="1">
        <v>45685</v>
      </c>
      <c r="B675">
        <v>210.19374068554396</v>
      </c>
      <c r="E675">
        <f t="shared" si="10"/>
        <v>190.57565822155988</v>
      </c>
    </row>
    <row r="676" spans="1:5" x14ac:dyDescent="0.25">
      <c r="A676" s="1">
        <v>45686</v>
      </c>
      <c r="B676">
        <v>224.20665673124688</v>
      </c>
      <c r="E676">
        <f t="shared" si="10"/>
        <v>193.77861046057765</v>
      </c>
    </row>
    <row r="677" spans="1:5" x14ac:dyDescent="0.25">
      <c r="A677" s="1">
        <v>45687</v>
      </c>
      <c r="B677">
        <v>212.99632389468454</v>
      </c>
      <c r="E677">
        <f t="shared" si="10"/>
        <v>184.16975374352424</v>
      </c>
    </row>
    <row r="678" spans="1:5" x14ac:dyDescent="0.25">
      <c r="A678" s="1">
        <v>45688</v>
      </c>
      <c r="B678">
        <v>193.37824143070043</v>
      </c>
      <c r="E678">
        <f t="shared" si="10"/>
        <v>185.77122986303311</v>
      </c>
    </row>
    <row r="679" spans="1:5" x14ac:dyDescent="0.25">
      <c r="A679" s="1">
        <v>45689</v>
      </c>
      <c r="B679">
        <v>131.72141082960755</v>
      </c>
      <c r="E679">
        <f t="shared" si="10"/>
        <v>186.97233695266479</v>
      </c>
    </row>
    <row r="680" spans="1:5" x14ac:dyDescent="0.25">
      <c r="A680" s="1">
        <v>45690</v>
      </c>
      <c r="B680">
        <v>142.93174366616989</v>
      </c>
      <c r="E680">
        <f t="shared" si="10"/>
        <v>188.1734440422965</v>
      </c>
    </row>
    <row r="681" spans="1:5" x14ac:dyDescent="0.25">
      <c r="A681" s="1">
        <v>45691</v>
      </c>
      <c r="B681">
        <v>207.39115747640335</v>
      </c>
      <c r="E681">
        <f t="shared" si="10"/>
        <v>188.97418210205095</v>
      </c>
    </row>
    <row r="682" spans="1:5" x14ac:dyDescent="0.25">
      <c r="A682" s="1">
        <v>45692</v>
      </c>
      <c r="B682">
        <v>218.60149031296572</v>
      </c>
      <c r="E682">
        <f t="shared" si="10"/>
        <v>190.17528919168262</v>
      </c>
    </row>
    <row r="683" spans="1:5" x14ac:dyDescent="0.25">
      <c r="A683" s="1">
        <v>45693</v>
      </c>
      <c r="B683">
        <v>235.41698956780922</v>
      </c>
      <c r="E683">
        <f t="shared" si="10"/>
        <v>191.77676531119155</v>
      </c>
    </row>
    <row r="684" spans="1:5" x14ac:dyDescent="0.25">
      <c r="A684" s="1">
        <v>45694</v>
      </c>
      <c r="B684">
        <v>235.41698956780922</v>
      </c>
      <c r="E684">
        <f t="shared" si="10"/>
        <v>194.97971755020936</v>
      </c>
    </row>
    <row r="685" spans="1:5" x14ac:dyDescent="0.25">
      <c r="A685" s="1">
        <v>45695</v>
      </c>
      <c r="B685">
        <v>198.98340784898161</v>
      </c>
      <c r="E685">
        <f t="shared" si="10"/>
        <v>195.78045560996381</v>
      </c>
    </row>
    <row r="686" spans="1:5" x14ac:dyDescent="0.25">
      <c r="A686" s="1">
        <v>45696</v>
      </c>
      <c r="B686">
        <v>134.52399403874813</v>
      </c>
      <c r="E686">
        <f t="shared" si="10"/>
        <v>196.18082463984106</v>
      </c>
    </row>
    <row r="687" spans="1:5" x14ac:dyDescent="0.25">
      <c r="A687" s="1">
        <v>45697</v>
      </c>
      <c r="B687">
        <v>142.93174366616989</v>
      </c>
      <c r="E687">
        <f t="shared" si="10"/>
        <v>196.18082463984106</v>
      </c>
    </row>
    <row r="688" spans="1:5" x14ac:dyDescent="0.25">
      <c r="A688" s="1">
        <v>45698</v>
      </c>
      <c r="B688">
        <v>221.4040735221063</v>
      </c>
      <c r="E688">
        <f t="shared" si="10"/>
        <v>198.18266978922716</v>
      </c>
    </row>
    <row r="689" spans="1:5" x14ac:dyDescent="0.25">
      <c r="A689" s="1">
        <v>45699</v>
      </c>
      <c r="B689">
        <v>224.20665673124688</v>
      </c>
      <c r="E689">
        <f t="shared" si="10"/>
        <v>198.98340784898159</v>
      </c>
    </row>
    <row r="690" spans="1:5" x14ac:dyDescent="0.25">
      <c r="A690" s="1">
        <v>45700</v>
      </c>
      <c r="B690">
        <v>227.00923994038746</v>
      </c>
      <c r="E690">
        <f t="shared" si="10"/>
        <v>197.78230075934991</v>
      </c>
    </row>
    <row r="691" spans="1:5" x14ac:dyDescent="0.25">
      <c r="A691" s="1">
        <v>45701</v>
      </c>
      <c r="B691">
        <v>224.20665673124688</v>
      </c>
      <c r="E691">
        <f t="shared" si="10"/>
        <v>196.18082463984106</v>
      </c>
    </row>
    <row r="692" spans="1:5" x14ac:dyDescent="0.25">
      <c r="A692" s="1">
        <v>45702</v>
      </c>
      <c r="B692">
        <v>204.58857426726277</v>
      </c>
      <c r="E692">
        <f t="shared" si="10"/>
        <v>196.98156269959551</v>
      </c>
    </row>
    <row r="693" spans="1:5" x14ac:dyDescent="0.25">
      <c r="A693" s="1">
        <v>45703</v>
      </c>
      <c r="B693">
        <v>137.32657724788871</v>
      </c>
      <c r="E693">
        <f t="shared" si="10"/>
        <v>197.38193172947271</v>
      </c>
    </row>
    <row r="694" spans="1:5" x14ac:dyDescent="0.25">
      <c r="A694" s="1">
        <v>45704</v>
      </c>
      <c r="B694">
        <v>151.33949329359166</v>
      </c>
      <c r="E694">
        <f t="shared" si="10"/>
        <v>198.58303881910439</v>
      </c>
    </row>
    <row r="695" spans="1:5" x14ac:dyDescent="0.25">
      <c r="A695" s="1">
        <v>45705</v>
      </c>
      <c r="B695">
        <v>218.60149031296572</v>
      </c>
      <c r="E695">
        <f t="shared" si="10"/>
        <v>198.18266978922716</v>
      </c>
    </row>
    <row r="696" spans="1:5" x14ac:dyDescent="0.25">
      <c r="A696" s="1">
        <v>45706</v>
      </c>
      <c r="B696">
        <v>243.82473919523099</v>
      </c>
      <c r="E696">
        <f t="shared" si="10"/>
        <v>200.98525299836774</v>
      </c>
    </row>
    <row r="697" spans="1:5" x14ac:dyDescent="0.25">
      <c r="A697" s="1">
        <v>45707</v>
      </c>
      <c r="B697">
        <v>227.00923994038746</v>
      </c>
      <c r="E697">
        <f t="shared" si="10"/>
        <v>200.98525299836774</v>
      </c>
    </row>
    <row r="698" spans="1:5" x14ac:dyDescent="0.25">
      <c r="A698" s="1">
        <v>45708</v>
      </c>
      <c r="B698">
        <v>241.02215598609041</v>
      </c>
      <c r="E698">
        <f t="shared" si="10"/>
        <v>203.38746717763109</v>
      </c>
    </row>
    <row r="699" spans="1:5" x14ac:dyDescent="0.25">
      <c r="A699" s="1">
        <v>45709</v>
      </c>
      <c r="B699">
        <v>212.99632389468454</v>
      </c>
      <c r="E699">
        <f t="shared" si="10"/>
        <v>204.5885742672628</v>
      </c>
    </row>
    <row r="700" spans="1:5" x14ac:dyDescent="0.25">
      <c r="A700" s="1">
        <v>45710</v>
      </c>
      <c r="B700">
        <v>145.73432687531047</v>
      </c>
      <c r="E700">
        <f t="shared" si="10"/>
        <v>205.78968135689448</v>
      </c>
    </row>
    <row r="701" spans="1:5" x14ac:dyDescent="0.25">
      <c r="A701" s="1">
        <v>45711</v>
      </c>
      <c r="B701">
        <v>159.7472429210134</v>
      </c>
      <c r="E701">
        <f t="shared" si="10"/>
        <v>206.99078844652612</v>
      </c>
    </row>
    <row r="702" spans="1:5" x14ac:dyDescent="0.25">
      <c r="A702" s="1">
        <v>45712</v>
      </c>
      <c r="B702">
        <v>238.2195727769498</v>
      </c>
      <c r="E702">
        <f t="shared" si="10"/>
        <v>209.7933716556667</v>
      </c>
    </row>
    <row r="703" spans="1:5" x14ac:dyDescent="0.25">
      <c r="A703" s="1">
        <v>45713</v>
      </c>
      <c r="B703">
        <v>255.03507203179333</v>
      </c>
      <c r="E703">
        <f t="shared" si="10"/>
        <v>211.39484777517561</v>
      </c>
    </row>
    <row r="704" spans="1:5" x14ac:dyDescent="0.25">
      <c r="A704" s="1">
        <v>45714</v>
      </c>
      <c r="B704">
        <v>243.82473919523099</v>
      </c>
      <c r="E704">
        <f t="shared" si="10"/>
        <v>213.79706195443896</v>
      </c>
    </row>
    <row r="705" spans="1:5" x14ac:dyDescent="0.25">
      <c r="A705" s="1">
        <v>45715</v>
      </c>
      <c r="B705">
        <v>235.41698956780922</v>
      </c>
      <c r="E705">
        <f t="shared" si="10"/>
        <v>212.99632389468454</v>
      </c>
    </row>
    <row r="706" spans="1:5" x14ac:dyDescent="0.25">
      <c r="A706" s="1">
        <v>45716</v>
      </c>
      <c r="B706">
        <v>215.79890710382512</v>
      </c>
      <c r="E706">
        <f t="shared" si="10"/>
        <v>213.39669292456173</v>
      </c>
    </row>
    <row r="707" spans="1:5" x14ac:dyDescent="0.25">
      <c r="A707" s="1">
        <v>45717</v>
      </c>
      <c r="B707">
        <v>140.12916045702929</v>
      </c>
      <c r="E707">
        <f t="shared" si="10"/>
        <v>212.59595486480728</v>
      </c>
    </row>
    <row r="708" spans="1:5" x14ac:dyDescent="0.25">
      <c r="A708" s="1">
        <v>45718</v>
      </c>
      <c r="B708">
        <v>148.53691008445105</v>
      </c>
      <c r="E708">
        <f t="shared" si="10"/>
        <v>210.99447874529838</v>
      </c>
    </row>
    <row r="709" spans="1:5" x14ac:dyDescent="0.25">
      <c r="A709" s="1">
        <v>45719</v>
      </c>
      <c r="B709">
        <v>232.61440635866865</v>
      </c>
      <c r="E709">
        <f t="shared" si="10"/>
        <v>210.19374068554399</v>
      </c>
    </row>
    <row r="710" spans="1:5" x14ac:dyDescent="0.25">
      <c r="A710" s="1">
        <v>45720</v>
      </c>
      <c r="B710">
        <v>238.2195727769498</v>
      </c>
      <c r="E710">
        <f t="shared" si="10"/>
        <v>207.7915265062806</v>
      </c>
    </row>
    <row r="711" spans="1:5" x14ac:dyDescent="0.25">
      <c r="A711" s="1">
        <v>45721</v>
      </c>
      <c r="B711">
        <v>241.02215598609041</v>
      </c>
      <c r="E711">
        <f t="shared" si="10"/>
        <v>207.39115747640338</v>
      </c>
    </row>
    <row r="712" spans="1:5" x14ac:dyDescent="0.25">
      <c r="A712" s="1">
        <v>45722</v>
      </c>
      <c r="B712">
        <v>243.82473919523099</v>
      </c>
      <c r="E712">
        <f t="shared" si="10"/>
        <v>208.59226456603503</v>
      </c>
    </row>
    <row r="713" spans="1:5" x14ac:dyDescent="0.25">
      <c r="A713" s="1">
        <v>45723</v>
      </c>
      <c r="B713">
        <v>218.60149031296572</v>
      </c>
      <c r="E713">
        <f t="shared" si="10"/>
        <v>208.99263359591228</v>
      </c>
    </row>
    <row r="714" spans="1:5" x14ac:dyDescent="0.25">
      <c r="A714" s="1">
        <v>45724</v>
      </c>
      <c r="B714">
        <v>154.14207650273224</v>
      </c>
      <c r="E714">
        <f t="shared" si="10"/>
        <v>210.99447874529841</v>
      </c>
    </row>
    <row r="715" spans="1:5" x14ac:dyDescent="0.25">
      <c r="A715" s="1">
        <v>45725</v>
      </c>
      <c r="B715">
        <v>165.35240933929458</v>
      </c>
      <c r="E715">
        <f t="shared" si="10"/>
        <v>213.39669292456173</v>
      </c>
    </row>
    <row r="716" spans="1:5" x14ac:dyDescent="0.25">
      <c r="A716" s="1">
        <v>45726</v>
      </c>
      <c r="B716">
        <v>255.03507203179333</v>
      </c>
      <c r="E716">
        <f t="shared" si="10"/>
        <v>216.59964516357959</v>
      </c>
    </row>
    <row r="717" spans="1:5" x14ac:dyDescent="0.25">
      <c r="A717" s="1">
        <v>45727</v>
      </c>
      <c r="B717">
        <v>252.23248882265273</v>
      </c>
      <c r="E717">
        <f t="shared" si="10"/>
        <v>218.60149031296572</v>
      </c>
    </row>
    <row r="718" spans="1:5" x14ac:dyDescent="0.25">
      <c r="A718" s="1">
        <v>45728</v>
      </c>
      <c r="B718">
        <v>257.83765524093394</v>
      </c>
      <c r="E718">
        <f t="shared" si="10"/>
        <v>221.00370449222905</v>
      </c>
    </row>
    <row r="719" spans="1:5" x14ac:dyDescent="0.25">
      <c r="A719" s="1">
        <v>45729</v>
      </c>
      <c r="B719">
        <v>243.82473919523099</v>
      </c>
      <c r="E719">
        <f t="shared" si="10"/>
        <v>221.00370449222905</v>
      </c>
    </row>
    <row r="720" spans="1:5" x14ac:dyDescent="0.25">
      <c r="A720" s="1">
        <v>45730</v>
      </c>
      <c r="B720">
        <v>218.60149031296572</v>
      </c>
      <c r="E720">
        <f t="shared" si="10"/>
        <v>221.00370449222905</v>
      </c>
    </row>
    <row r="721" spans="1:5" x14ac:dyDescent="0.25">
      <c r="A721" s="1">
        <v>45731</v>
      </c>
      <c r="B721">
        <v>159.7472429210134</v>
      </c>
      <c r="E721">
        <f t="shared" si="10"/>
        <v>221.80444255198353</v>
      </c>
    </row>
    <row r="722" spans="1:5" x14ac:dyDescent="0.25">
      <c r="A722" s="1">
        <v>45732</v>
      </c>
      <c r="B722">
        <v>165.35240933929458</v>
      </c>
      <c r="E722">
        <f t="shared" si="10"/>
        <v>221.80444255198353</v>
      </c>
    </row>
    <row r="723" spans="1:5" x14ac:dyDescent="0.25">
      <c r="A723" s="1">
        <v>45733</v>
      </c>
      <c r="B723">
        <v>255.03507203179333</v>
      </c>
      <c r="E723">
        <f t="shared" si="10"/>
        <v>221.80444255198353</v>
      </c>
    </row>
    <row r="724" spans="1:5" x14ac:dyDescent="0.25">
      <c r="A724" s="1">
        <v>45734</v>
      </c>
      <c r="B724">
        <v>252.23248882265273</v>
      </c>
      <c r="E724">
        <f t="shared" ref="E724:E787" si="11">AVERAGE(B718:B724)</f>
        <v>221.80444255198356</v>
      </c>
    </row>
    <row r="725" spans="1:5" x14ac:dyDescent="0.25">
      <c r="A725" s="1">
        <v>45735</v>
      </c>
      <c r="B725">
        <v>249.42990561351215</v>
      </c>
      <c r="E725">
        <f t="shared" si="11"/>
        <v>220.60333546235185</v>
      </c>
    </row>
    <row r="726" spans="1:5" x14ac:dyDescent="0.25">
      <c r="A726" s="1">
        <v>45736</v>
      </c>
      <c r="B726">
        <v>238.2195727769498</v>
      </c>
      <c r="E726">
        <f t="shared" si="11"/>
        <v>219.8025974025974</v>
      </c>
    </row>
    <row r="727" spans="1:5" x14ac:dyDescent="0.25">
      <c r="A727" s="1">
        <v>45737</v>
      </c>
      <c r="B727">
        <v>212.99632389468454</v>
      </c>
      <c r="E727">
        <f t="shared" si="11"/>
        <v>219.00185934284292</v>
      </c>
    </row>
    <row r="728" spans="1:5" x14ac:dyDescent="0.25">
      <c r="A728" s="1">
        <v>45738</v>
      </c>
      <c r="B728">
        <v>151.33949329359166</v>
      </c>
      <c r="E728">
        <f t="shared" si="11"/>
        <v>217.80075225321124</v>
      </c>
    </row>
    <row r="729" spans="1:5" x14ac:dyDescent="0.25">
      <c r="A729" s="1">
        <v>45739</v>
      </c>
      <c r="B729">
        <v>151.33949329359166</v>
      </c>
      <c r="E729">
        <f t="shared" si="11"/>
        <v>215.79890710382512</v>
      </c>
    </row>
    <row r="730" spans="1:5" x14ac:dyDescent="0.25">
      <c r="A730" s="1">
        <v>45740</v>
      </c>
      <c r="B730">
        <v>241.02215598609041</v>
      </c>
      <c r="E730">
        <f t="shared" si="11"/>
        <v>213.79706195443899</v>
      </c>
    </row>
    <row r="731" spans="1:5" x14ac:dyDescent="0.25">
      <c r="A731" s="1">
        <v>45741</v>
      </c>
      <c r="B731">
        <v>252.23248882265273</v>
      </c>
      <c r="E731">
        <f t="shared" si="11"/>
        <v>213.79706195443896</v>
      </c>
    </row>
    <row r="732" spans="1:5" x14ac:dyDescent="0.25">
      <c r="A732" s="1">
        <v>45742</v>
      </c>
      <c r="B732">
        <v>257.83765524093394</v>
      </c>
      <c r="E732">
        <f t="shared" si="11"/>
        <v>214.99816904407069</v>
      </c>
    </row>
    <row r="733" spans="1:5" x14ac:dyDescent="0.25">
      <c r="A733" s="1">
        <v>45743</v>
      </c>
      <c r="B733">
        <v>257.83765524093394</v>
      </c>
      <c r="E733">
        <f t="shared" si="11"/>
        <v>217.8007522532113</v>
      </c>
    </row>
    <row r="734" spans="1:5" x14ac:dyDescent="0.25">
      <c r="A734" s="1">
        <v>45744</v>
      </c>
      <c r="B734">
        <v>253.06288384758332</v>
      </c>
      <c r="E734">
        <f t="shared" si="11"/>
        <v>223.52454653219681</v>
      </c>
    </row>
    <row r="735" spans="1:5" x14ac:dyDescent="0.25">
      <c r="A735" s="1">
        <v>45745</v>
      </c>
      <c r="B735">
        <v>233.96379827418082</v>
      </c>
      <c r="E735">
        <f t="shared" si="11"/>
        <v>235.32801867228096</v>
      </c>
    </row>
    <row r="736" spans="1:5" x14ac:dyDescent="0.25">
      <c r="A736" s="1">
        <v>45746</v>
      </c>
      <c r="B736">
        <v>353.33308310794655</v>
      </c>
      <c r="E736">
        <f t="shared" si="11"/>
        <v>264.18424578861737</v>
      </c>
    </row>
    <row r="737" spans="1:5" x14ac:dyDescent="0.25">
      <c r="A737" s="1">
        <v>45747</v>
      </c>
      <c r="B737">
        <v>410.63033982815409</v>
      </c>
      <c r="E737">
        <f t="shared" si="11"/>
        <v>288.41398633748361</v>
      </c>
    </row>
    <row r="738" spans="1:5" x14ac:dyDescent="0.25">
      <c r="A738" s="1">
        <v>45748</v>
      </c>
      <c r="B738">
        <v>381.98171146805032</v>
      </c>
      <c r="E738">
        <f t="shared" si="11"/>
        <v>306.94958957254039</v>
      </c>
    </row>
    <row r="739" spans="1:5" x14ac:dyDescent="0.25">
      <c r="A739" s="1">
        <v>45749</v>
      </c>
      <c r="B739">
        <v>334.23399753454402</v>
      </c>
      <c r="E739">
        <f t="shared" si="11"/>
        <v>317.86335275734189</v>
      </c>
    </row>
    <row r="740" spans="1:5" x14ac:dyDescent="0.25">
      <c r="A740" s="1">
        <v>45750</v>
      </c>
      <c r="B740">
        <v>305.58536917444025</v>
      </c>
      <c r="E740">
        <f t="shared" si="11"/>
        <v>324.68445474784272</v>
      </c>
    </row>
    <row r="741" spans="1:5" x14ac:dyDescent="0.25">
      <c r="A741" s="1">
        <v>45751</v>
      </c>
      <c r="B741">
        <v>276.93674081433647</v>
      </c>
      <c r="E741">
        <f t="shared" si="11"/>
        <v>328.09500574309322</v>
      </c>
    </row>
    <row r="742" spans="1:5" x14ac:dyDescent="0.25">
      <c r="A742" s="1">
        <v>45752</v>
      </c>
      <c r="B742">
        <v>200.5403985207264</v>
      </c>
      <c r="E742">
        <f t="shared" si="11"/>
        <v>323.32023434974252</v>
      </c>
    </row>
    <row r="743" spans="1:5" x14ac:dyDescent="0.25">
      <c r="A743" s="1">
        <v>45753</v>
      </c>
      <c r="B743">
        <v>219.63948409412893</v>
      </c>
      <c r="E743">
        <f t="shared" si="11"/>
        <v>304.2211487763401</v>
      </c>
    </row>
    <row r="744" spans="1:5" x14ac:dyDescent="0.25">
      <c r="A744" s="1">
        <v>45754</v>
      </c>
      <c r="B744">
        <v>296.03582638773901</v>
      </c>
      <c r="E744">
        <f t="shared" si="11"/>
        <v>287.85050399913791</v>
      </c>
    </row>
    <row r="745" spans="1:5" x14ac:dyDescent="0.25">
      <c r="A745" s="1">
        <v>45755</v>
      </c>
      <c r="B745">
        <v>315.13491196114148</v>
      </c>
      <c r="E745">
        <f t="shared" si="11"/>
        <v>278.30096121243662</v>
      </c>
    </row>
    <row r="746" spans="1:5" x14ac:dyDescent="0.25">
      <c r="A746" s="1">
        <v>45756</v>
      </c>
      <c r="B746">
        <v>305.58536917444025</v>
      </c>
      <c r="E746">
        <f t="shared" si="11"/>
        <v>274.20830001813613</v>
      </c>
    </row>
    <row r="747" spans="1:5" x14ac:dyDescent="0.25">
      <c r="A747" s="1">
        <v>45757</v>
      </c>
      <c r="B747">
        <v>305.58536917444025</v>
      </c>
      <c r="E747">
        <f t="shared" si="11"/>
        <v>274.20830001813613</v>
      </c>
    </row>
    <row r="748" spans="1:5" x14ac:dyDescent="0.25">
      <c r="A748" s="1">
        <v>45758</v>
      </c>
      <c r="B748">
        <v>276.93674081433647</v>
      </c>
      <c r="E748">
        <f t="shared" si="11"/>
        <v>274.20830001813613</v>
      </c>
    </row>
    <row r="749" spans="1:5" x14ac:dyDescent="0.25">
      <c r="A749" s="1">
        <v>45759</v>
      </c>
      <c r="B749">
        <v>219.63948409412893</v>
      </c>
      <c r="E749">
        <f t="shared" si="11"/>
        <v>276.93674081433647</v>
      </c>
    </row>
    <row r="750" spans="1:5" x14ac:dyDescent="0.25">
      <c r="A750" s="1">
        <v>45760</v>
      </c>
      <c r="B750">
        <v>210.08994130742767</v>
      </c>
      <c r="E750">
        <f t="shared" si="11"/>
        <v>275.57252041623627</v>
      </c>
    </row>
    <row r="751" spans="1:5" x14ac:dyDescent="0.25">
      <c r="A751" s="1">
        <v>45761</v>
      </c>
      <c r="B751">
        <v>281.71151220768712</v>
      </c>
      <c r="E751">
        <f t="shared" si="11"/>
        <v>273.52618981908597</v>
      </c>
    </row>
    <row r="752" spans="1:5" x14ac:dyDescent="0.25">
      <c r="A752" s="1">
        <v>45762</v>
      </c>
      <c r="B752">
        <v>291.26105499438836</v>
      </c>
      <c r="E752">
        <f t="shared" si="11"/>
        <v>270.11563882383558</v>
      </c>
    </row>
    <row r="753" spans="1:5" x14ac:dyDescent="0.25">
      <c r="A753" s="1">
        <v>45763</v>
      </c>
      <c r="B753">
        <v>291.26105499438836</v>
      </c>
      <c r="E753">
        <f t="shared" si="11"/>
        <v>268.06930822668534</v>
      </c>
    </row>
    <row r="754" spans="1:5" x14ac:dyDescent="0.25">
      <c r="A754" s="1">
        <v>45764</v>
      </c>
      <c r="B754">
        <v>262.61242663428459</v>
      </c>
      <c r="E754">
        <f t="shared" si="11"/>
        <v>261.93031643523449</v>
      </c>
    </row>
    <row r="755" spans="1:5" x14ac:dyDescent="0.25">
      <c r="A755" s="1">
        <v>45765</v>
      </c>
      <c r="B755">
        <v>214.86471270077828</v>
      </c>
      <c r="E755">
        <f t="shared" si="11"/>
        <v>253.06288384758335</v>
      </c>
    </row>
    <row r="756" spans="1:5" x14ac:dyDescent="0.25">
      <c r="A756" s="1">
        <v>45766</v>
      </c>
      <c r="B756">
        <v>190.99085573402516</v>
      </c>
      <c r="E756">
        <f t="shared" si="11"/>
        <v>248.97022265328275</v>
      </c>
    </row>
    <row r="757" spans="1:5" x14ac:dyDescent="0.25">
      <c r="A757" s="1">
        <v>45767</v>
      </c>
      <c r="B757">
        <v>190.99085573402516</v>
      </c>
      <c r="E757">
        <f t="shared" si="11"/>
        <v>246.24178185708243</v>
      </c>
    </row>
    <row r="758" spans="1:5" x14ac:dyDescent="0.25">
      <c r="A758" s="1">
        <v>45768</v>
      </c>
      <c r="B758">
        <v>267.38719802763524</v>
      </c>
      <c r="E758">
        <f t="shared" si="11"/>
        <v>244.19545125993221</v>
      </c>
    </row>
    <row r="759" spans="1:5" x14ac:dyDescent="0.25">
      <c r="A759" s="1">
        <v>45769</v>
      </c>
      <c r="B759">
        <v>305.58536917444025</v>
      </c>
      <c r="E759">
        <f t="shared" si="11"/>
        <v>246.24178185708249</v>
      </c>
    </row>
    <row r="760" spans="1:5" x14ac:dyDescent="0.25">
      <c r="A760" s="1">
        <v>45770</v>
      </c>
      <c r="B760">
        <v>300.8105977810896</v>
      </c>
      <c r="E760">
        <f t="shared" si="11"/>
        <v>247.6060022551826</v>
      </c>
    </row>
    <row r="761" spans="1:5" x14ac:dyDescent="0.25">
      <c r="A761" s="1">
        <v>45771</v>
      </c>
      <c r="B761">
        <v>305.58536917444025</v>
      </c>
      <c r="E761">
        <f t="shared" si="11"/>
        <v>253.74499404663342</v>
      </c>
    </row>
    <row r="762" spans="1:5" x14ac:dyDescent="0.25">
      <c r="A762" s="1">
        <v>45772</v>
      </c>
      <c r="B762">
        <v>272.16196942098583</v>
      </c>
      <c r="E762">
        <f t="shared" si="11"/>
        <v>261.93031643523449</v>
      </c>
    </row>
    <row r="763" spans="1:5" x14ac:dyDescent="0.25">
      <c r="A763" s="1">
        <v>45773</v>
      </c>
      <c r="B763">
        <v>195.76562712737578</v>
      </c>
      <c r="E763">
        <f t="shared" si="11"/>
        <v>262.61242663428459</v>
      </c>
    </row>
    <row r="764" spans="1:5" x14ac:dyDescent="0.25">
      <c r="A764" s="1">
        <v>45774</v>
      </c>
      <c r="B764">
        <v>214.86471270077828</v>
      </c>
      <c r="E764">
        <f t="shared" si="11"/>
        <v>266.02297762953503</v>
      </c>
    </row>
    <row r="765" spans="1:5" x14ac:dyDescent="0.25">
      <c r="A765" s="1">
        <v>45775</v>
      </c>
      <c r="B765">
        <v>300.8105977810896</v>
      </c>
      <c r="E765">
        <f t="shared" si="11"/>
        <v>270.79774902288563</v>
      </c>
    </row>
    <row r="766" spans="1:5" x14ac:dyDescent="0.25">
      <c r="A766" s="1">
        <v>45776</v>
      </c>
      <c r="B766">
        <v>315.13491196114148</v>
      </c>
      <c r="E766">
        <f t="shared" si="11"/>
        <v>272.16196942098583</v>
      </c>
    </row>
    <row r="767" spans="1:5" x14ac:dyDescent="0.25">
      <c r="A767" s="1">
        <v>45777</v>
      </c>
      <c r="B767">
        <v>281.71151220768712</v>
      </c>
      <c r="E767">
        <f t="shared" si="11"/>
        <v>269.43352862478548</v>
      </c>
    </row>
    <row r="768" spans="1:5" x14ac:dyDescent="0.25">
      <c r="A768" s="1">
        <v>45778</v>
      </c>
      <c r="B768">
        <v>243.51334106088208</v>
      </c>
      <c r="E768">
        <f t="shared" si="11"/>
        <v>260.56609603713434</v>
      </c>
    </row>
    <row r="769" spans="1:5" x14ac:dyDescent="0.25">
      <c r="A769" s="1">
        <v>45779</v>
      </c>
      <c r="B769">
        <v>248.2881124542327</v>
      </c>
      <c r="E769">
        <f t="shared" si="11"/>
        <v>257.1555450418839</v>
      </c>
    </row>
    <row r="770" spans="1:5" x14ac:dyDescent="0.25">
      <c r="A770" s="1">
        <v>45780</v>
      </c>
      <c r="B770">
        <v>195.76562712737578</v>
      </c>
      <c r="E770">
        <f t="shared" si="11"/>
        <v>257.1555450418839</v>
      </c>
    </row>
    <row r="771" spans="1:5" x14ac:dyDescent="0.25">
      <c r="A771" s="1">
        <v>45781</v>
      </c>
      <c r="B771">
        <v>219.63948409412893</v>
      </c>
      <c r="E771">
        <f t="shared" si="11"/>
        <v>257.83765524093394</v>
      </c>
    </row>
    <row r="772" spans="1:5" x14ac:dyDescent="0.25">
      <c r="A772" s="1">
        <v>45782</v>
      </c>
      <c r="B772">
        <v>305.58536917444025</v>
      </c>
      <c r="E772">
        <f t="shared" si="11"/>
        <v>258.5197654399841</v>
      </c>
    </row>
    <row r="773" spans="1:5" x14ac:dyDescent="0.25">
      <c r="A773" s="1">
        <v>45783</v>
      </c>
      <c r="B773">
        <v>310.36014056779089</v>
      </c>
      <c r="E773">
        <f t="shared" si="11"/>
        <v>257.837655240934</v>
      </c>
    </row>
    <row r="774" spans="1:5" x14ac:dyDescent="0.25">
      <c r="A774" s="1">
        <v>45784</v>
      </c>
      <c r="B774">
        <v>305.58536917444025</v>
      </c>
      <c r="E774">
        <f t="shared" si="11"/>
        <v>261.24820623618444</v>
      </c>
    </row>
    <row r="775" spans="1:5" x14ac:dyDescent="0.25">
      <c r="A775" s="1">
        <v>45785</v>
      </c>
      <c r="B775">
        <v>291.26105499438836</v>
      </c>
      <c r="E775">
        <f t="shared" si="11"/>
        <v>268.06930822668534</v>
      </c>
    </row>
    <row r="776" spans="1:5" x14ac:dyDescent="0.25">
      <c r="A776" s="1">
        <v>45786</v>
      </c>
      <c r="B776">
        <v>267.38719802763524</v>
      </c>
      <c r="E776">
        <f t="shared" si="11"/>
        <v>270.79774902288574</v>
      </c>
    </row>
    <row r="777" spans="1:5" x14ac:dyDescent="0.25">
      <c r="A777" s="1">
        <v>45787</v>
      </c>
      <c r="B777">
        <v>200.5403985207264</v>
      </c>
      <c r="E777">
        <f t="shared" si="11"/>
        <v>271.47985922193578</v>
      </c>
    </row>
    <row r="778" spans="1:5" x14ac:dyDescent="0.25">
      <c r="A778" s="1">
        <v>45788</v>
      </c>
      <c r="B778">
        <v>205.31516991407705</v>
      </c>
      <c r="E778">
        <f t="shared" si="11"/>
        <v>269.43352862478548</v>
      </c>
    </row>
    <row r="779" spans="1:5" x14ac:dyDescent="0.25">
      <c r="A779" s="1">
        <v>45789</v>
      </c>
      <c r="B779">
        <v>305.58536917444025</v>
      </c>
      <c r="E779">
        <f t="shared" si="11"/>
        <v>269.43352862478548</v>
      </c>
    </row>
    <row r="780" spans="1:5" x14ac:dyDescent="0.25">
      <c r="A780" s="1">
        <v>45790</v>
      </c>
      <c r="B780">
        <v>300.8105977810896</v>
      </c>
      <c r="E780">
        <f t="shared" si="11"/>
        <v>268.06930822668534</v>
      </c>
    </row>
    <row r="781" spans="1:5" x14ac:dyDescent="0.25">
      <c r="A781" s="1">
        <v>45791</v>
      </c>
      <c r="B781">
        <v>315.13491196114148</v>
      </c>
      <c r="E781">
        <f t="shared" si="11"/>
        <v>269.43352862478548</v>
      </c>
    </row>
    <row r="782" spans="1:5" x14ac:dyDescent="0.25">
      <c r="A782" s="1">
        <v>45792</v>
      </c>
      <c r="B782">
        <v>319.90968335449213</v>
      </c>
      <c r="E782">
        <f t="shared" si="11"/>
        <v>273.52618981908603</v>
      </c>
    </row>
    <row r="783" spans="1:5" x14ac:dyDescent="0.25">
      <c r="A783" s="1">
        <v>45793</v>
      </c>
      <c r="B783">
        <v>286.48628360103771</v>
      </c>
      <c r="E783">
        <f t="shared" si="11"/>
        <v>276.25463061528643</v>
      </c>
    </row>
    <row r="784" spans="1:5" x14ac:dyDescent="0.25">
      <c r="A784" s="1">
        <v>45794</v>
      </c>
      <c r="B784">
        <v>214.86471270077828</v>
      </c>
      <c r="E784">
        <f t="shared" si="11"/>
        <v>278.30096121243662</v>
      </c>
    </row>
    <row r="785" spans="1:5" x14ac:dyDescent="0.25">
      <c r="A785" s="1">
        <v>45795</v>
      </c>
      <c r="B785">
        <v>219.63948409412893</v>
      </c>
      <c r="E785">
        <f t="shared" si="11"/>
        <v>280.34729180958686</v>
      </c>
    </row>
    <row r="786" spans="1:5" x14ac:dyDescent="0.25">
      <c r="A786" s="1">
        <v>45796</v>
      </c>
      <c r="B786">
        <v>319.90968335449213</v>
      </c>
      <c r="E786">
        <f t="shared" si="11"/>
        <v>282.39362240673711</v>
      </c>
    </row>
    <row r="787" spans="1:5" x14ac:dyDescent="0.25">
      <c r="A787" s="1">
        <v>45797</v>
      </c>
      <c r="B787">
        <v>334.23399753454402</v>
      </c>
      <c r="E787">
        <f t="shared" si="11"/>
        <v>287.16839380008781</v>
      </c>
    </row>
    <row r="788" spans="1:5" x14ac:dyDescent="0.25">
      <c r="A788" s="1">
        <v>45798</v>
      </c>
      <c r="B788">
        <v>315.13491196114148</v>
      </c>
      <c r="E788">
        <f t="shared" ref="E788:E851" si="12">AVERAGE(B782:B788)</f>
        <v>287.16839380008781</v>
      </c>
    </row>
    <row r="789" spans="1:5" x14ac:dyDescent="0.25">
      <c r="A789" s="1">
        <v>45799</v>
      </c>
      <c r="B789">
        <v>319.90968335449213</v>
      </c>
      <c r="E789">
        <f t="shared" si="12"/>
        <v>287.16839380008781</v>
      </c>
    </row>
    <row r="790" spans="1:5" x14ac:dyDescent="0.25">
      <c r="A790" s="1">
        <v>45800</v>
      </c>
      <c r="B790">
        <v>296.03582638773901</v>
      </c>
      <c r="E790">
        <f t="shared" si="12"/>
        <v>288.53261419818801</v>
      </c>
    </row>
    <row r="791" spans="1:5" x14ac:dyDescent="0.25">
      <c r="A791" s="1">
        <v>45801</v>
      </c>
      <c r="B791">
        <v>205.31516991407705</v>
      </c>
      <c r="E791">
        <f t="shared" si="12"/>
        <v>287.16839380008781</v>
      </c>
    </row>
    <row r="792" spans="1:5" x14ac:dyDescent="0.25">
      <c r="A792" s="1">
        <v>45802</v>
      </c>
      <c r="B792">
        <v>214.86471270077828</v>
      </c>
      <c r="E792">
        <f t="shared" si="12"/>
        <v>286.48628360103771</v>
      </c>
    </row>
    <row r="793" spans="1:5" x14ac:dyDescent="0.25">
      <c r="A793" s="1">
        <v>45803</v>
      </c>
      <c r="B793">
        <v>315.13491196114148</v>
      </c>
      <c r="E793">
        <f t="shared" si="12"/>
        <v>285.80417340198767</v>
      </c>
    </row>
    <row r="794" spans="1:5" x14ac:dyDescent="0.25">
      <c r="A794" s="1">
        <v>45804</v>
      </c>
      <c r="B794">
        <v>324.68445474784278</v>
      </c>
      <c r="E794">
        <f t="shared" si="12"/>
        <v>284.43995300388741</v>
      </c>
    </row>
    <row r="795" spans="1:5" x14ac:dyDescent="0.25">
      <c r="A795" s="1">
        <v>45805</v>
      </c>
      <c r="B795">
        <v>310.36014056779089</v>
      </c>
      <c r="E795">
        <f t="shared" si="12"/>
        <v>283.75784280483737</v>
      </c>
    </row>
    <row r="796" spans="1:5" x14ac:dyDescent="0.25">
      <c r="A796" s="1">
        <v>45806</v>
      </c>
      <c r="B796">
        <v>300.8105977810896</v>
      </c>
      <c r="E796">
        <f t="shared" si="12"/>
        <v>281.02940200863702</v>
      </c>
    </row>
    <row r="797" spans="1:5" x14ac:dyDescent="0.25">
      <c r="A797" s="1">
        <v>45807</v>
      </c>
      <c r="B797">
        <v>276.93674081433647</v>
      </c>
      <c r="E797">
        <f t="shared" si="12"/>
        <v>278.30096121243668</v>
      </c>
    </row>
    <row r="798" spans="1:5" x14ac:dyDescent="0.25">
      <c r="A798" s="1">
        <v>45808</v>
      </c>
      <c r="B798">
        <v>210.08994130742767</v>
      </c>
      <c r="E798">
        <f t="shared" si="12"/>
        <v>278.98307141148672</v>
      </c>
    </row>
    <row r="799" spans="1:5" x14ac:dyDescent="0.25">
      <c r="A799" s="1">
        <v>45809</v>
      </c>
      <c r="B799">
        <v>210.08994130742767</v>
      </c>
      <c r="E799">
        <f t="shared" si="12"/>
        <v>278.30096121243662</v>
      </c>
    </row>
    <row r="800" spans="1:5" x14ac:dyDescent="0.25">
      <c r="A800" s="1">
        <v>45810</v>
      </c>
      <c r="B800">
        <v>305.58536917444025</v>
      </c>
      <c r="E800">
        <f t="shared" si="12"/>
        <v>276.93674081433647</v>
      </c>
    </row>
    <row r="801" spans="1:5" x14ac:dyDescent="0.25">
      <c r="A801" s="1">
        <v>45811</v>
      </c>
      <c r="B801">
        <v>319.90968335449213</v>
      </c>
      <c r="E801">
        <f t="shared" si="12"/>
        <v>276.25463061528637</v>
      </c>
    </row>
    <row r="802" spans="1:5" x14ac:dyDescent="0.25">
      <c r="A802" s="1">
        <v>45812</v>
      </c>
      <c r="B802">
        <v>315.13491196114148</v>
      </c>
      <c r="E802">
        <f t="shared" si="12"/>
        <v>276.93674081433647</v>
      </c>
    </row>
    <row r="803" spans="1:5" x14ac:dyDescent="0.25">
      <c r="A803" s="1">
        <v>45813</v>
      </c>
      <c r="B803">
        <v>310.36014056779089</v>
      </c>
      <c r="E803">
        <f t="shared" si="12"/>
        <v>278.30096121243662</v>
      </c>
    </row>
    <row r="804" spans="1:5" x14ac:dyDescent="0.25">
      <c r="A804" s="1">
        <v>45814</v>
      </c>
      <c r="B804">
        <v>267.38719802763524</v>
      </c>
      <c r="E804">
        <f t="shared" si="12"/>
        <v>276.93674081433653</v>
      </c>
    </row>
    <row r="805" spans="1:5" x14ac:dyDescent="0.25">
      <c r="A805" s="1">
        <v>45815</v>
      </c>
      <c r="B805">
        <v>200.5403985207264</v>
      </c>
      <c r="E805">
        <f t="shared" si="12"/>
        <v>275.57252041623627</v>
      </c>
    </row>
    <row r="806" spans="1:5" x14ac:dyDescent="0.25">
      <c r="A806" s="1">
        <v>45816</v>
      </c>
      <c r="B806">
        <v>214.86471270077828</v>
      </c>
      <c r="E806">
        <f t="shared" si="12"/>
        <v>276.25463061528637</v>
      </c>
    </row>
    <row r="807" spans="1:5" x14ac:dyDescent="0.25">
      <c r="A807" s="1">
        <v>45817</v>
      </c>
      <c r="B807">
        <v>296.03582638773901</v>
      </c>
      <c r="E807">
        <f t="shared" si="12"/>
        <v>274.89041021718623</v>
      </c>
    </row>
    <row r="808" spans="1:5" x14ac:dyDescent="0.25">
      <c r="A808" s="1">
        <v>45818</v>
      </c>
      <c r="B808">
        <v>401.0807970414528</v>
      </c>
      <c r="E808">
        <f t="shared" si="12"/>
        <v>286.48628360103771</v>
      </c>
    </row>
    <row r="809" spans="1:5" x14ac:dyDescent="0.25">
      <c r="A809" s="1">
        <v>45819</v>
      </c>
      <c r="B809">
        <v>324.68445474784278</v>
      </c>
      <c r="E809">
        <f t="shared" si="12"/>
        <v>287.85050399913791</v>
      </c>
    </row>
    <row r="810" spans="1:5" x14ac:dyDescent="0.25">
      <c r="A810" s="1">
        <v>45820</v>
      </c>
      <c r="B810">
        <v>315.13491196114148</v>
      </c>
      <c r="E810">
        <f t="shared" si="12"/>
        <v>288.53261419818801</v>
      </c>
    </row>
    <row r="811" spans="1:5" x14ac:dyDescent="0.25">
      <c r="A811" s="1">
        <v>45821</v>
      </c>
      <c r="B811">
        <v>272.16196942098583</v>
      </c>
      <c r="E811">
        <f t="shared" si="12"/>
        <v>289.21472439723806</v>
      </c>
    </row>
    <row r="812" spans="1:5" x14ac:dyDescent="0.25">
      <c r="A812" s="1">
        <v>45822</v>
      </c>
      <c r="B812">
        <v>214.86471270077828</v>
      </c>
      <c r="E812">
        <f t="shared" si="12"/>
        <v>291.2610549943883</v>
      </c>
    </row>
    <row r="813" spans="1:5" x14ac:dyDescent="0.25">
      <c r="A813" s="1">
        <v>45823</v>
      </c>
      <c r="B813">
        <v>214.86471270077828</v>
      </c>
      <c r="E813">
        <f t="shared" si="12"/>
        <v>291.2610549943883</v>
      </c>
    </row>
    <row r="814" spans="1:5" x14ac:dyDescent="0.25">
      <c r="A814" s="1">
        <v>45824</v>
      </c>
      <c r="B814">
        <v>310.36014056779089</v>
      </c>
      <c r="E814">
        <f t="shared" si="12"/>
        <v>293.3073855915386</v>
      </c>
    </row>
    <row r="815" spans="1:5" x14ac:dyDescent="0.25">
      <c r="A815" s="1">
        <v>45825</v>
      </c>
      <c r="B815">
        <v>334.23399753454402</v>
      </c>
      <c r="E815">
        <f t="shared" si="12"/>
        <v>283.75784280483737</v>
      </c>
    </row>
    <row r="816" spans="1:5" x14ac:dyDescent="0.25">
      <c r="A816" s="1">
        <v>45826</v>
      </c>
      <c r="B816">
        <v>324.68445474784278</v>
      </c>
      <c r="E816">
        <f t="shared" si="12"/>
        <v>283.75784280483737</v>
      </c>
    </row>
    <row r="817" spans="1:5" x14ac:dyDescent="0.25">
      <c r="A817" s="1">
        <v>45827</v>
      </c>
      <c r="B817">
        <v>286.48628360103771</v>
      </c>
      <c r="E817">
        <f t="shared" si="12"/>
        <v>279.66518161053688</v>
      </c>
    </row>
    <row r="818" spans="1:5" x14ac:dyDescent="0.25">
      <c r="A818" s="1">
        <v>45828</v>
      </c>
      <c r="B818">
        <v>281.71151220768712</v>
      </c>
      <c r="E818">
        <f t="shared" si="12"/>
        <v>281.02940200863696</v>
      </c>
    </row>
    <row r="819" spans="1:5" x14ac:dyDescent="0.25">
      <c r="A819" s="1">
        <v>45829</v>
      </c>
      <c r="B819">
        <v>219.63948409412893</v>
      </c>
      <c r="E819">
        <f t="shared" si="12"/>
        <v>281.71151220768712</v>
      </c>
    </row>
    <row r="820" spans="1:5" x14ac:dyDescent="0.25">
      <c r="A820" s="1">
        <v>45830</v>
      </c>
      <c r="B820">
        <v>229.18902688083017</v>
      </c>
      <c r="E820">
        <f t="shared" si="12"/>
        <v>283.75784280483737</v>
      </c>
    </row>
    <row r="821" spans="1:5" x14ac:dyDescent="0.25">
      <c r="A821" s="1">
        <v>45831</v>
      </c>
      <c r="B821">
        <v>305.58536917444025</v>
      </c>
      <c r="E821">
        <f t="shared" si="12"/>
        <v>283.07573260578727</v>
      </c>
    </row>
    <row r="822" spans="1:5" x14ac:dyDescent="0.25">
      <c r="A822" s="1">
        <v>45832</v>
      </c>
      <c r="B822">
        <v>315.13491196114148</v>
      </c>
      <c r="E822">
        <f t="shared" si="12"/>
        <v>280.34729180958692</v>
      </c>
    </row>
    <row r="823" spans="1:5" x14ac:dyDescent="0.25">
      <c r="A823" s="1">
        <v>45833</v>
      </c>
      <c r="B823">
        <v>315.13491196114148</v>
      </c>
      <c r="E823">
        <f t="shared" si="12"/>
        <v>278.98307141148672</v>
      </c>
    </row>
    <row r="824" spans="1:5" x14ac:dyDescent="0.25">
      <c r="A824" s="1">
        <v>45834</v>
      </c>
      <c r="B824">
        <v>310.36014056779089</v>
      </c>
      <c r="E824">
        <f t="shared" si="12"/>
        <v>282.39362240673717</v>
      </c>
    </row>
    <row r="825" spans="1:5" x14ac:dyDescent="0.25">
      <c r="A825" s="1">
        <v>45835</v>
      </c>
      <c r="B825">
        <v>286.48628360103771</v>
      </c>
      <c r="E825">
        <f t="shared" si="12"/>
        <v>283.07573260578727</v>
      </c>
    </row>
    <row r="826" spans="1:5" x14ac:dyDescent="0.25">
      <c r="A826" s="1">
        <v>45836</v>
      </c>
      <c r="B826">
        <v>214.86471270077828</v>
      </c>
      <c r="E826">
        <f t="shared" si="12"/>
        <v>282.39362240673717</v>
      </c>
    </row>
    <row r="827" spans="1:5" x14ac:dyDescent="0.25">
      <c r="A827" s="1">
        <v>45837</v>
      </c>
      <c r="B827">
        <v>233.96379827418082</v>
      </c>
      <c r="E827">
        <f t="shared" si="12"/>
        <v>283.07573260578727</v>
      </c>
    </row>
    <row r="828" spans="1:5" x14ac:dyDescent="0.25">
      <c r="A828" s="1">
        <v>45838</v>
      </c>
      <c r="B828">
        <v>300.8105977810896</v>
      </c>
      <c r="E828">
        <f t="shared" si="12"/>
        <v>282.39362240673717</v>
      </c>
    </row>
    <row r="829" spans="1:5" x14ac:dyDescent="0.25">
      <c r="A829" s="1">
        <v>45839</v>
      </c>
      <c r="B829">
        <v>315.13491196114148</v>
      </c>
      <c r="E829">
        <f t="shared" si="12"/>
        <v>282.39362240673717</v>
      </c>
    </row>
    <row r="830" spans="1:5" x14ac:dyDescent="0.25">
      <c r="A830" s="1">
        <v>45840</v>
      </c>
      <c r="B830">
        <v>296.03582638773901</v>
      </c>
      <c r="E830">
        <f t="shared" si="12"/>
        <v>279.66518161053688</v>
      </c>
    </row>
    <row r="831" spans="1:5" x14ac:dyDescent="0.25">
      <c r="A831" s="1">
        <v>45841</v>
      </c>
      <c r="B831">
        <v>305.58536917444025</v>
      </c>
      <c r="E831">
        <f t="shared" si="12"/>
        <v>278.98307141148678</v>
      </c>
    </row>
    <row r="832" spans="1:5" x14ac:dyDescent="0.25">
      <c r="A832" s="1">
        <v>45842</v>
      </c>
      <c r="B832">
        <v>276.93674081433647</v>
      </c>
      <c r="E832">
        <f t="shared" si="12"/>
        <v>277.61885101338652</v>
      </c>
    </row>
    <row r="833" spans="1:5" x14ac:dyDescent="0.25">
      <c r="A833" s="1">
        <v>45843</v>
      </c>
      <c r="B833">
        <v>205.31516991407705</v>
      </c>
      <c r="E833">
        <f t="shared" si="12"/>
        <v>276.25463061528637</v>
      </c>
    </row>
    <row r="834" spans="1:5" x14ac:dyDescent="0.25">
      <c r="A834" s="1">
        <v>45844</v>
      </c>
      <c r="B834">
        <v>219.63948409412893</v>
      </c>
      <c r="E834">
        <f t="shared" si="12"/>
        <v>274.20830001813607</v>
      </c>
    </row>
    <row r="835" spans="1:5" x14ac:dyDescent="0.25">
      <c r="A835" s="1">
        <v>45845</v>
      </c>
      <c r="B835">
        <v>296.03582638773901</v>
      </c>
      <c r="E835">
        <f t="shared" si="12"/>
        <v>273.52618981908597</v>
      </c>
    </row>
    <row r="836" spans="1:5" x14ac:dyDescent="0.25">
      <c r="A836" s="1">
        <v>45846</v>
      </c>
      <c r="B836">
        <v>300.8105977810896</v>
      </c>
      <c r="E836">
        <f t="shared" si="12"/>
        <v>271.47985922193573</v>
      </c>
    </row>
    <row r="837" spans="1:5" x14ac:dyDescent="0.25">
      <c r="A837" s="1">
        <v>45847</v>
      </c>
      <c r="B837">
        <v>291.26105499438836</v>
      </c>
      <c r="E837">
        <f t="shared" si="12"/>
        <v>270.79774902288568</v>
      </c>
    </row>
    <row r="838" spans="1:5" x14ac:dyDescent="0.25">
      <c r="A838" s="1">
        <v>45848</v>
      </c>
      <c r="B838">
        <v>315.13491196114148</v>
      </c>
      <c r="E838">
        <f t="shared" si="12"/>
        <v>272.16196942098583</v>
      </c>
    </row>
    <row r="839" spans="1:5" x14ac:dyDescent="0.25">
      <c r="A839" s="1">
        <v>45849</v>
      </c>
      <c r="B839">
        <v>291.26105499438836</v>
      </c>
      <c r="E839">
        <f t="shared" si="12"/>
        <v>274.20830001813613</v>
      </c>
    </row>
    <row r="840" spans="1:5" x14ac:dyDescent="0.25">
      <c r="A840" s="1">
        <v>45850</v>
      </c>
      <c r="B840">
        <v>205.31516991407705</v>
      </c>
      <c r="E840">
        <f t="shared" si="12"/>
        <v>274.20830001813613</v>
      </c>
    </row>
    <row r="841" spans="1:5" x14ac:dyDescent="0.25">
      <c r="A841" s="1">
        <v>45851</v>
      </c>
      <c r="B841">
        <v>210.08994130742767</v>
      </c>
      <c r="E841">
        <f t="shared" si="12"/>
        <v>272.84407962003598</v>
      </c>
    </row>
    <row r="842" spans="1:5" x14ac:dyDescent="0.25">
      <c r="A842" s="1">
        <v>45852</v>
      </c>
      <c r="B842">
        <v>305.58536917444025</v>
      </c>
      <c r="E842">
        <f t="shared" si="12"/>
        <v>274.20830001813613</v>
      </c>
    </row>
    <row r="843" spans="1:5" x14ac:dyDescent="0.25">
      <c r="A843" s="1">
        <v>45853</v>
      </c>
      <c r="B843">
        <v>315.13491196114148</v>
      </c>
      <c r="E843">
        <f t="shared" si="12"/>
        <v>276.25463061528637</v>
      </c>
    </row>
    <row r="844" spans="1:5" x14ac:dyDescent="0.25">
      <c r="A844" s="1">
        <v>45854</v>
      </c>
      <c r="B844">
        <v>315.13491196114148</v>
      </c>
      <c r="E844">
        <f t="shared" si="12"/>
        <v>279.66518161053682</v>
      </c>
    </row>
    <row r="845" spans="1:5" x14ac:dyDescent="0.25">
      <c r="A845" s="1">
        <v>45855</v>
      </c>
      <c r="B845">
        <v>315.13491196114148</v>
      </c>
      <c r="E845">
        <f t="shared" si="12"/>
        <v>279.66518161053682</v>
      </c>
    </row>
    <row r="846" spans="1:5" x14ac:dyDescent="0.25">
      <c r="A846" s="1">
        <v>45856</v>
      </c>
      <c r="B846">
        <v>300.8105977810896</v>
      </c>
      <c r="E846">
        <f t="shared" si="12"/>
        <v>281.02940200863702</v>
      </c>
    </row>
    <row r="847" spans="1:5" x14ac:dyDescent="0.25">
      <c r="A847" s="1">
        <v>45857</v>
      </c>
      <c r="B847">
        <v>219.63948409412893</v>
      </c>
      <c r="E847">
        <f t="shared" si="12"/>
        <v>283.07573260578727</v>
      </c>
    </row>
    <row r="848" spans="1:5" x14ac:dyDescent="0.25">
      <c r="A848" s="1">
        <v>45858</v>
      </c>
      <c r="B848">
        <v>214.86471270077828</v>
      </c>
      <c r="E848">
        <f t="shared" si="12"/>
        <v>283.75784280483737</v>
      </c>
    </row>
    <row r="849" spans="1:5" x14ac:dyDescent="0.25">
      <c r="A849" s="1">
        <v>45859</v>
      </c>
      <c r="B849">
        <v>305.58536917444025</v>
      </c>
      <c r="E849">
        <f t="shared" si="12"/>
        <v>283.75784280483737</v>
      </c>
    </row>
    <row r="850" spans="1:5" x14ac:dyDescent="0.25">
      <c r="A850" s="1">
        <v>45860</v>
      </c>
      <c r="B850">
        <v>315.13491196114148</v>
      </c>
      <c r="E850">
        <f t="shared" si="12"/>
        <v>283.75784280483737</v>
      </c>
    </row>
    <row r="851" spans="1:5" x14ac:dyDescent="0.25">
      <c r="A851" s="1">
        <v>45861</v>
      </c>
      <c r="B851">
        <v>324.68445474784278</v>
      </c>
      <c r="E851">
        <f t="shared" si="12"/>
        <v>285.12206320293751</v>
      </c>
    </row>
    <row r="852" spans="1:5" x14ac:dyDescent="0.25">
      <c r="A852" s="1">
        <v>45862</v>
      </c>
      <c r="B852">
        <v>329.45922614119337</v>
      </c>
      <c r="E852">
        <f t="shared" ref="E852:E915" si="13">AVERAGE(B846:B852)</f>
        <v>287.16839380008776</v>
      </c>
    </row>
    <row r="853" spans="1:5" x14ac:dyDescent="0.25">
      <c r="A853" s="1">
        <v>45863</v>
      </c>
      <c r="B853">
        <v>291.26105499438836</v>
      </c>
      <c r="E853">
        <f t="shared" si="13"/>
        <v>285.80417340198761</v>
      </c>
    </row>
    <row r="854" spans="1:5" x14ac:dyDescent="0.25">
      <c r="A854" s="1">
        <v>45864</v>
      </c>
      <c r="B854">
        <v>210.08994130742767</v>
      </c>
      <c r="E854">
        <f t="shared" si="13"/>
        <v>284.43995300388741</v>
      </c>
    </row>
    <row r="855" spans="1:5" x14ac:dyDescent="0.25">
      <c r="A855" s="1">
        <v>45865</v>
      </c>
      <c r="B855">
        <v>219.63948409412893</v>
      </c>
      <c r="E855">
        <f t="shared" si="13"/>
        <v>285.12206320293751</v>
      </c>
    </row>
    <row r="856" spans="1:5" x14ac:dyDescent="0.25">
      <c r="A856" s="1">
        <v>45866</v>
      </c>
      <c r="B856">
        <v>305.58536917444025</v>
      </c>
      <c r="E856">
        <f t="shared" si="13"/>
        <v>285.12206320293751</v>
      </c>
    </row>
    <row r="857" spans="1:5" x14ac:dyDescent="0.25">
      <c r="A857" s="1">
        <v>45867</v>
      </c>
      <c r="B857">
        <v>319.90968335449213</v>
      </c>
      <c r="E857">
        <f t="shared" si="13"/>
        <v>285.80417340198761</v>
      </c>
    </row>
    <row r="858" spans="1:5" x14ac:dyDescent="0.25">
      <c r="A858" s="1">
        <v>45868</v>
      </c>
      <c r="B858">
        <v>329.45922614119337</v>
      </c>
      <c r="E858">
        <f t="shared" si="13"/>
        <v>286.48628360103771</v>
      </c>
    </row>
    <row r="859" spans="1:5" x14ac:dyDescent="0.25">
      <c r="A859" s="1">
        <v>45869</v>
      </c>
      <c r="B859">
        <v>319.90968335449213</v>
      </c>
      <c r="E859">
        <f t="shared" si="13"/>
        <v>285.12206320293757</v>
      </c>
    </row>
    <row r="860" spans="1:5" x14ac:dyDescent="0.25">
      <c r="A860" s="1">
        <v>45870</v>
      </c>
      <c r="B860">
        <v>291.26105499438836</v>
      </c>
      <c r="E860">
        <f t="shared" si="13"/>
        <v>285.12206320293751</v>
      </c>
    </row>
    <row r="861" spans="1:5" x14ac:dyDescent="0.25">
      <c r="A861" s="1">
        <v>45871</v>
      </c>
      <c r="B861">
        <v>219.63948409412893</v>
      </c>
      <c r="E861">
        <f t="shared" si="13"/>
        <v>286.48628360103777</v>
      </c>
    </row>
    <row r="862" spans="1:5" x14ac:dyDescent="0.25">
      <c r="A862" s="1">
        <v>45872</v>
      </c>
      <c r="B862">
        <v>229.18902688083017</v>
      </c>
      <c r="E862">
        <f t="shared" si="13"/>
        <v>287.85050399913786</v>
      </c>
    </row>
    <row r="863" spans="1:5" x14ac:dyDescent="0.25">
      <c r="A863" s="1">
        <v>45873</v>
      </c>
      <c r="B863">
        <v>324.68445474784278</v>
      </c>
      <c r="E863">
        <f t="shared" si="13"/>
        <v>290.57894479533826</v>
      </c>
    </row>
    <row r="864" spans="1:5" x14ac:dyDescent="0.25">
      <c r="A864" s="1">
        <v>45874</v>
      </c>
      <c r="B864">
        <v>348.5583117145959</v>
      </c>
      <c r="E864">
        <f t="shared" si="13"/>
        <v>294.67160598963881</v>
      </c>
    </row>
    <row r="865" spans="1:5" x14ac:dyDescent="0.25">
      <c r="A865" s="1">
        <v>45875</v>
      </c>
      <c r="B865">
        <v>353.33308310794655</v>
      </c>
      <c r="E865">
        <f t="shared" si="13"/>
        <v>298.0821569848892</v>
      </c>
    </row>
    <row r="866" spans="1:5" x14ac:dyDescent="0.25">
      <c r="A866" s="1">
        <v>45876</v>
      </c>
      <c r="B866">
        <v>372.43216868134903</v>
      </c>
      <c r="E866">
        <f t="shared" si="13"/>
        <v>305.58536917444019</v>
      </c>
    </row>
    <row r="867" spans="1:5" x14ac:dyDescent="0.25">
      <c r="A867" s="1">
        <v>45877</v>
      </c>
      <c r="B867">
        <v>391.53125425475156</v>
      </c>
      <c r="E867">
        <f t="shared" si="13"/>
        <v>319.90968335449219</v>
      </c>
    </row>
    <row r="868" spans="1:5" x14ac:dyDescent="0.25">
      <c r="A868" s="1">
        <v>45878</v>
      </c>
      <c r="B868">
        <v>262.61242663428459</v>
      </c>
      <c r="E868">
        <f t="shared" si="13"/>
        <v>326.04867514594298</v>
      </c>
    </row>
    <row r="869" spans="1:5" x14ac:dyDescent="0.25">
      <c r="A869" s="1">
        <v>45879</v>
      </c>
      <c r="B869">
        <v>248.2881124542327</v>
      </c>
      <c r="E869">
        <f t="shared" si="13"/>
        <v>328.77711594214333</v>
      </c>
    </row>
    <row r="870" spans="1:5" x14ac:dyDescent="0.25">
      <c r="A870" s="1">
        <v>45880</v>
      </c>
      <c r="B870">
        <v>339.00876892789466</v>
      </c>
      <c r="E870">
        <f t="shared" si="13"/>
        <v>330.82344653929357</v>
      </c>
    </row>
    <row r="871" spans="1:5" x14ac:dyDescent="0.25">
      <c r="A871" s="1">
        <v>45881</v>
      </c>
      <c r="B871">
        <v>358.10785450129714</v>
      </c>
      <c r="E871">
        <f t="shared" si="13"/>
        <v>332.18766693739377</v>
      </c>
    </row>
    <row r="872" spans="1:5" x14ac:dyDescent="0.25">
      <c r="A872" s="1">
        <v>45882</v>
      </c>
      <c r="B872">
        <v>343.78354032124525</v>
      </c>
      <c r="E872">
        <f t="shared" si="13"/>
        <v>330.82344653929357</v>
      </c>
    </row>
    <row r="873" spans="1:5" x14ac:dyDescent="0.25">
      <c r="A873" s="1">
        <v>45883</v>
      </c>
      <c r="B873">
        <v>324.68445474784278</v>
      </c>
      <c r="E873">
        <f t="shared" si="13"/>
        <v>324.00234454879268</v>
      </c>
    </row>
    <row r="874" spans="1:5" x14ac:dyDescent="0.25">
      <c r="A874" s="1">
        <v>45884</v>
      </c>
      <c r="B874">
        <v>286.48628360103771</v>
      </c>
      <c r="E874">
        <f t="shared" si="13"/>
        <v>308.99592016969069</v>
      </c>
    </row>
    <row r="875" spans="1:5" x14ac:dyDescent="0.25">
      <c r="A875" s="1">
        <v>45885</v>
      </c>
      <c r="B875">
        <v>224.41425548747955</v>
      </c>
      <c r="E875">
        <f t="shared" si="13"/>
        <v>303.53903857728994</v>
      </c>
    </row>
    <row r="876" spans="1:5" x14ac:dyDescent="0.25">
      <c r="A876" s="1">
        <v>45886</v>
      </c>
      <c r="B876">
        <v>238.73856966753144</v>
      </c>
      <c r="E876">
        <f t="shared" si="13"/>
        <v>302.1748181791898</v>
      </c>
    </row>
    <row r="877" spans="1:5" x14ac:dyDescent="0.25">
      <c r="A877" s="1">
        <v>45887</v>
      </c>
      <c r="B877">
        <v>339.00876892789466</v>
      </c>
      <c r="E877">
        <f t="shared" si="13"/>
        <v>302.17481817918986</v>
      </c>
    </row>
    <row r="878" spans="1:5" x14ac:dyDescent="0.25">
      <c r="A878" s="1">
        <v>45888</v>
      </c>
      <c r="B878">
        <v>353.33308310794655</v>
      </c>
      <c r="E878">
        <f t="shared" si="13"/>
        <v>301.4927079801397</v>
      </c>
    </row>
    <row r="879" spans="1:5" x14ac:dyDescent="0.25">
      <c r="A879" s="1">
        <v>45889</v>
      </c>
      <c r="B879">
        <v>329.45922614119337</v>
      </c>
      <c r="E879">
        <f t="shared" si="13"/>
        <v>299.4463773829894</v>
      </c>
    </row>
    <row r="880" spans="1:5" x14ac:dyDescent="0.25">
      <c r="A880" s="1">
        <v>45890</v>
      </c>
      <c r="B880">
        <v>329.45922614119337</v>
      </c>
      <c r="E880">
        <f t="shared" si="13"/>
        <v>300.12848758203955</v>
      </c>
    </row>
    <row r="881" spans="1:5" x14ac:dyDescent="0.25">
      <c r="A881" s="1">
        <v>45891</v>
      </c>
      <c r="B881">
        <v>300.8105977810896</v>
      </c>
      <c r="E881">
        <f t="shared" si="13"/>
        <v>302.1748181791898</v>
      </c>
    </row>
    <row r="882" spans="1:5" x14ac:dyDescent="0.25">
      <c r="A882" s="1">
        <v>45892</v>
      </c>
      <c r="B882">
        <v>224.41425548747955</v>
      </c>
      <c r="E882">
        <f t="shared" si="13"/>
        <v>302.1748181791898</v>
      </c>
    </row>
    <row r="883" spans="1:5" x14ac:dyDescent="0.25">
      <c r="A883" s="1">
        <v>45893</v>
      </c>
      <c r="B883">
        <v>219.63948409412893</v>
      </c>
      <c r="E883">
        <f t="shared" si="13"/>
        <v>299.4463773829894</v>
      </c>
    </row>
    <row r="884" spans="1:5" x14ac:dyDescent="0.25">
      <c r="A884" s="1">
        <v>45894</v>
      </c>
      <c r="B884">
        <v>324.68445474784278</v>
      </c>
      <c r="E884">
        <f t="shared" si="13"/>
        <v>297.40004678583915</v>
      </c>
    </row>
    <row r="885" spans="1:5" x14ac:dyDescent="0.25">
      <c r="A885" s="1">
        <v>45895</v>
      </c>
      <c r="B885">
        <v>343.78354032124525</v>
      </c>
      <c r="E885">
        <f t="shared" si="13"/>
        <v>296.03582638773895</v>
      </c>
    </row>
    <row r="886" spans="1:5" x14ac:dyDescent="0.25">
      <c r="A886" s="1">
        <v>45896</v>
      </c>
      <c r="B886">
        <v>339.00876892789466</v>
      </c>
      <c r="E886">
        <f t="shared" si="13"/>
        <v>297.40004678583915</v>
      </c>
    </row>
    <row r="887" spans="1:5" x14ac:dyDescent="0.25">
      <c r="A887" s="1">
        <v>45897</v>
      </c>
      <c r="B887">
        <v>358.10785450129714</v>
      </c>
      <c r="E887">
        <f t="shared" si="13"/>
        <v>301.4927079801397</v>
      </c>
    </row>
    <row r="888" spans="1:5" x14ac:dyDescent="0.25">
      <c r="A888" s="1">
        <v>45898</v>
      </c>
      <c r="B888">
        <v>305.58536917444025</v>
      </c>
      <c r="E888">
        <f t="shared" si="13"/>
        <v>302.1748181791898</v>
      </c>
    </row>
    <row r="889" spans="1:5" x14ac:dyDescent="0.25">
      <c r="A889" s="1">
        <v>45899</v>
      </c>
      <c r="B889">
        <v>229.18902688083017</v>
      </c>
      <c r="E889">
        <f t="shared" si="13"/>
        <v>302.8569283782399</v>
      </c>
    </row>
    <row r="890" spans="1:5" x14ac:dyDescent="0.25">
      <c r="A890" s="1">
        <v>45900</v>
      </c>
      <c r="B890">
        <v>229.18902688083017</v>
      </c>
      <c r="E890">
        <f t="shared" si="13"/>
        <v>304.2211487763401</v>
      </c>
    </row>
    <row r="891" spans="1:5" x14ac:dyDescent="0.25">
      <c r="A891" s="1">
        <v>45901</v>
      </c>
      <c r="B891">
        <v>339.00876892789466</v>
      </c>
      <c r="E891">
        <f t="shared" si="13"/>
        <v>306.26747937349035</v>
      </c>
    </row>
    <row r="892" spans="1:5" x14ac:dyDescent="0.25">
      <c r="A892" s="1">
        <v>45902</v>
      </c>
      <c r="B892">
        <v>358.10785450129714</v>
      </c>
      <c r="E892">
        <f t="shared" si="13"/>
        <v>308.31380997064059</v>
      </c>
    </row>
    <row r="893" spans="1:5" x14ac:dyDescent="0.25">
      <c r="A893" s="1">
        <v>45903</v>
      </c>
      <c r="B893">
        <v>405.85556843480344</v>
      </c>
      <c r="E893">
        <f t="shared" si="13"/>
        <v>317.86335275734189</v>
      </c>
    </row>
    <row r="894" spans="1:5" x14ac:dyDescent="0.25">
      <c r="A894" s="1">
        <v>45904</v>
      </c>
      <c r="B894">
        <v>367.65739728799844</v>
      </c>
      <c r="E894">
        <f t="shared" si="13"/>
        <v>319.22757315544203</v>
      </c>
    </row>
    <row r="895" spans="1:5" x14ac:dyDescent="0.25">
      <c r="A895" s="1">
        <v>45905</v>
      </c>
      <c r="B895">
        <v>324.68445474784278</v>
      </c>
      <c r="E895">
        <f t="shared" si="13"/>
        <v>321.95601395164243</v>
      </c>
    </row>
    <row r="896" spans="1:5" x14ac:dyDescent="0.25">
      <c r="A896" s="1">
        <v>45906</v>
      </c>
      <c r="B896">
        <v>248.2881124542327</v>
      </c>
      <c r="E896">
        <f t="shared" si="13"/>
        <v>324.68445474784278</v>
      </c>
    </row>
    <row r="897" spans="1:5" x14ac:dyDescent="0.25">
      <c r="A897" s="1">
        <v>45907</v>
      </c>
      <c r="B897">
        <v>262.61242663428459</v>
      </c>
      <c r="E897">
        <f t="shared" si="13"/>
        <v>329.45922614119343</v>
      </c>
    </row>
    <row r="898" spans="1:5" x14ac:dyDescent="0.25">
      <c r="A898" s="1">
        <v>45908</v>
      </c>
      <c r="B898">
        <v>377.20694007469967</v>
      </c>
      <c r="E898">
        <f t="shared" si="13"/>
        <v>334.91610773359406</v>
      </c>
    </row>
    <row r="899" spans="1:5" x14ac:dyDescent="0.25">
      <c r="A899" s="1">
        <v>45909</v>
      </c>
      <c r="B899">
        <v>377.20694007469967</v>
      </c>
      <c r="E899">
        <f t="shared" si="13"/>
        <v>337.64454852979446</v>
      </c>
    </row>
    <row r="900" spans="1:5" x14ac:dyDescent="0.25">
      <c r="A900" s="1">
        <v>45910</v>
      </c>
      <c r="B900">
        <v>367.65739728799844</v>
      </c>
      <c r="E900">
        <f t="shared" si="13"/>
        <v>332.18766693739371</v>
      </c>
    </row>
    <row r="901" spans="1:5" x14ac:dyDescent="0.25">
      <c r="A901" s="1">
        <v>45911</v>
      </c>
      <c r="B901">
        <v>367.65739728799844</v>
      </c>
      <c r="E901">
        <f t="shared" si="13"/>
        <v>332.18766693739377</v>
      </c>
    </row>
    <row r="902" spans="1:5" x14ac:dyDescent="0.25">
      <c r="A902" s="1">
        <v>45912</v>
      </c>
      <c r="B902">
        <v>339.00876892789466</v>
      </c>
      <c r="E902">
        <f t="shared" si="13"/>
        <v>334.23399753454407</v>
      </c>
    </row>
    <row r="903" spans="1:5" x14ac:dyDescent="0.25">
      <c r="A903" s="1">
        <v>45913</v>
      </c>
      <c r="B903">
        <v>248.2881124542327</v>
      </c>
      <c r="E903">
        <f t="shared" si="13"/>
        <v>334.23399753454402</v>
      </c>
    </row>
    <row r="904" spans="1:5" x14ac:dyDescent="0.25">
      <c r="A904" s="1">
        <v>45914</v>
      </c>
      <c r="B904">
        <v>253.06288384758332</v>
      </c>
      <c r="E904">
        <f t="shared" si="13"/>
        <v>332.86977713644382</v>
      </c>
    </row>
    <row r="905" spans="1:5" x14ac:dyDescent="0.25">
      <c r="A905" s="1">
        <v>45915</v>
      </c>
      <c r="B905">
        <v>358.10785450129714</v>
      </c>
      <c r="E905">
        <f t="shared" si="13"/>
        <v>330.14133634024347</v>
      </c>
    </row>
    <row r="906" spans="1:5" x14ac:dyDescent="0.25">
      <c r="A906" s="1">
        <v>45916</v>
      </c>
      <c r="B906">
        <v>386.75648286140091</v>
      </c>
      <c r="E906">
        <f t="shared" si="13"/>
        <v>331.50555673834373</v>
      </c>
    </row>
    <row r="907" spans="1:5" x14ac:dyDescent="0.25">
      <c r="A907" s="1">
        <v>45917</v>
      </c>
      <c r="B907">
        <v>386.75648286140091</v>
      </c>
      <c r="E907">
        <f t="shared" si="13"/>
        <v>334.23399753454402</v>
      </c>
    </row>
    <row r="908" spans="1:5" x14ac:dyDescent="0.25">
      <c r="A908" s="1">
        <v>45918</v>
      </c>
      <c r="B908">
        <v>367.65739728799844</v>
      </c>
      <c r="E908">
        <f t="shared" si="13"/>
        <v>334.23399753454396</v>
      </c>
    </row>
    <row r="909" spans="1:5" x14ac:dyDescent="0.25">
      <c r="A909" s="1">
        <v>45919</v>
      </c>
      <c r="B909">
        <v>353.33308310794655</v>
      </c>
      <c r="E909">
        <f t="shared" si="13"/>
        <v>336.28032813169426</v>
      </c>
    </row>
    <row r="910" spans="1:5" x14ac:dyDescent="0.25">
      <c r="A910" s="1">
        <v>45920</v>
      </c>
      <c r="B910">
        <v>253.06288384758332</v>
      </c>
      <c r="E910">
        <f t="shared" si="13"/>
        <v>336.96243833074431</v>
      </c>
    </row>
    <row r="911" spans="1:5" x14ac:dyDescent="0.25">
      <c r="A911" s="1">
        <v>45921</v>
      </c>
      <c r="B911">
        <v>262.61242663428459</v>
      </c>
      <c r="E911">
        <f t="shared" si="13"/>
        <v>338.32665872884451</v>
      </c>
    </row>
    <row r="912" spans="1:5" x14ac:dyDescent="0.25">
      <c r="A912" s="1">
        <v>45922</v>
      </c>
      <c r="B912">
        <v>372.43216868134903</v>
      </c>
      <c r="E912">
        <f t="shared" si="13"/>
        <v>340.37298932599481</v>
      </c>
    </row>
    <row r="913" spans="1:5" x14ac:dyDescent="0.25">
      <c r="A913" s="1">
        <v>45923</v>
      </c>
      <c r="B913">
        <v>377.20694007469967</v>
      </c>
      <c r="E913">
        <f t="shared" si="13"/>
        <v>339.00876892789466</v>
      </c>
    </row>
    <row r="914" spans="1:5" x14ac:dyDescent="0.25">
      <c r="A914" s="1">
        <v>45924</v>
      </c>
      <c r="B914">
        <v>372.43216868134903</v>
      </c>
      <c r="E914">
        <f t="shared" si="13"/>
        <v>336.96243833074442</v>
      </c>
    </row>
    <row r="915" spans="1:5" x14ac:dyDescent="0.25">
      <c r="A915" s="1">
        <v>45925</v>
      </c>
      <c r="B915">
        <v>362.88262589464779</v>
      </c>
      <c r="E915">
        <f t="shared" si="13"/>
        <v>336.28032813169426</v>
      </c>
    </row>
    <row r="916" spans="1:5" x14ac:dyDescent="0.25">
      <c r="A916" s="1">
        <v>45926</v>
      </c>
      <c r="B916">
        <v>329.45922614119337</v>
      </c>
      <c r="E916">
        <f t="shared" ref="E916:E978" si="14">AVERAGE(B910:B916)</f>
        <v>332.86977713644382</v>
      </c>
    </row>
    <row r="917" spans="1:5" x14ac:dyDescent="0.25">
      <c r="A917" s="1">
        <v>45927</v>
      </c>
      <c r="B917">
        <v>248.2881124542327</v>
      </c>
      <c r="E917">
        <f t="shared" si="14"/>
        <v>332.18766693739377</v>
      </c>
    </row>
    <row r="918" spans="1:5" x14ac:dyDescent="0.25">
      <c r="A918" s="1">
        <v>45928</v>
      </c>
      <c r="B918">
        <v>267.38719802763524</v>
      </c>
      <c r="E918">
        <f t="shared" si="14"/>
        <v>332.86977713644382</v>
      </c>
    </row>
    <row r="919" spans="1:5" x14ac:dyDescent="0.25">
      <c r="A919" s="1">
        <v>45929</v>
      </c>
      <c r="B919">
        <v>377.20694007469967</v>
      </c>
      <c r="E919">
        <f t="shared" si="14"/>
        <v>333.55188733549392</v>
      </c>
    </row>
    <row r="920" spans="1:5" x14ac:dyDescent="0.25">
      <c r="A920" s="1">
        <v>45930</v>
      </c>
      <c r="B920">
        <v>372.43216868134903</v>
      </c>
      <c r="E920">
        <f t="shared" si="14"/>
        <v>332.86977713644382</v>
      </c>
    </row>
    <row r="921" spans="1:5" x14ac:dyDescent="0.25">
      <c r="A921" s="1">
        <v>45931</v>
      </c>
      <c r="B921">
        <v>381.98171146805032</v>
      </c>
      <c r="E921">
        <f t="shared" si="14"/>
        <v>334.23399753454402</v>
      </c>
    </row>
    <row r="922" spans="1:5" x14ac:dyDescent="0.25">
      <c r="A922" s="1">
        <v>45932</v>
      </c>
      <c r="B922">
        <v>367.65739728799844</v>
      </c>
      <c r="E922">
        <f t="shared" si="14"/>
        <v>334.91610773359406</v>
      </c>
    </row>
    <row r="923" spans="1:5" x14ac:dyDescent="0.25">
      <c r="A923" s="1">
        <v>45933</v>
      </c>
      <c r="B923">
        <v>334.23399753454402</v>
      </c>
      <c r="E923">
        <f t="shared" si="14"/>
        <v>335.59821793264422</v>
      </c>
    </row>
    <row r="924" spans="1:5" x14ac:dyDescent="0.25">
      <c r="A924" s="1">
        <v>45934</v>
      </c>
      <c r="B924">
        <v>253.06288384758332</v>
      </c>
      <c r="E924">
        <f t="shared" si="14"/>
        <v>336.28032813169426</v>
      </c>
    </row>
    <row r="925" spans="1:5" x14ac:dyDescent="0.25">
      <c r="A925" s="1">
        <v>45935</v>
      </c>
      <c r="B925">
        <v>262.61242663428459</v>
      </c>
      <c r="E925">
        <f t="shared" si="14"/>
        <v>335.59821793264422</v>
      </c>
    </row>
    <row r="926" spans="1:5" x14ac:dyDescent="0.25">
      <c r="A926" s="1">
        <v>45936</v>
      </c>
      <c r="B926">
        <v>391.53125425475156</v>
      </c>
      <c r="E926">
        <f t="shared" si="14"/>
        <v>337.64454852979452</v>
      </c>
    </row>
    <row r="927" spans="1:5" x14ac:dyDescent="0.25">
      <c r="A927" s="1">
        <v>45937</v>
      </c>
      <c r="B927">
        <v>420.17988261485533</v>
      </c>
      <c r="E927">
        <f t="shared" si="14"/>
        <v>344.46565052029536</v>
      </c>
    </row>
    <row r="928" spans="1:5" x14ac:dyDescent="0.25">
      <c r="A928" s="1">
        <v>45938</v>
      </c>
      <c r="B928">
        <v>391.53125425475156</v>
      </c>
      <c r="E928">
        <f t="shared" si="14"/>
        <v>345.82987091839556</v>
      </c>
    </row>
    <row r="929" spans="1:5" x14ac:dyDescent="0.25">
      <c r="A929" s="1">
        <v>45939</v>
      </c>
      <c r="B929">
        <v>377.20694007469967</v>
      </c>
      <c r="E929">
        <f t="shared" si="14"/>
        <v>347.19409131649576</v>
      </c>
    </row>
    <row r="930" spans="1:5" x14ac:dyDescent="0.25">
      <c r="A930" s="1">
        <v>45940</v>
      </c>
      <c r="B930">
        <v>343.78354032124525</v>
      </c>
      <c r="E930">
        <f t="shared" si="14"/>
        <v>348.55831171459585</v>
      </c>
    </row>
    <row r="931" spans="1:5" x14ac:dyDescent="0.25">
      <c r="A931" s="1">
        <v>45941</v>
      </c>
      <c r="B931">
        <v>253.06288384758332</v>
      </c>
      <c r="E931">
        <f t="shared" si="14"/>
        <v>348.55831171459585</v>
      </c>
    </row>
    <row r="932" spans="1:5" x14ac:dyDescent="0.25">
      <c r="A932" s="1">
        <v>45942</v>
      </c>
      <c r="B932">
        <v>267.38719802763524</v>
      </c>
      <c r="E932">
        <f t="shared" si="14"/>
        <v>349.240421913646</v>
      </c>
    </row>
    <row r="933" spans="1:5" x14ac:dyDescent="0.25">
      <c r="A933" s="1">
        <v>45943</v>
      </c>
      <c r="B933">
        <v>367.65739728799844</v>
      </c>
      <c r="E933">
        <f t="shared" si="14"/>
        <v>345.8298709183955</v>
      </c>
    </row>
    <row r="934" spans="1:5" x14ac:dyDescent="0.25">
      <c r="A934" s="1">
        <v>45944</v>
      </c>
      <c r="B934">
        <v>396.30602564810221</v>
      </c>
      <c r="E934">
        <f t="shared" si="14"/>
        <v>342.41931992314511</v>
      </c>
    </row>
    <row r="935" spans="1:5" x14ac:dyDescent="0.25">
      <c r="A935" s="1">
        <v>45945</v>
      </c>
      <c r="B935">
        <v>405.85556843480344</v>
      </c>
      <c r="E935">
        <f t="shared" si="14"/>
        <v>344.46565052029536</v>
      </c>
    </row>
    <row r="936" spans="1:5" x14ac:dyDescent="0.25">
      <c r="A936" s="1">
        <v>45946</v>
      </c>
      <c r="B936">
        <v>396.30602564810221</v>
      </c>
      <c r="E936">
        <f t="shared" si="14"/>
        <v>347.19409131649576</v>
      </c>
    </row>
    <row r="937" spans="1:5" x14ac:dyDescent="0.25">
      <c r="A937" s="1">
        <v>45947</v>
      </c>
      <c r="B937">
        <v>353.33308310794655</v>
      </c>
      <c r="E937">
        <f t="shared" si="14"/>
        <v>348.55831171459596</v>
      </c>
    </row>
    <row r="938" spans="1:5" x14ac:dyDescent="0.25">
      <c r="A938" s="1">
        <v>45948</v>
      </c>
      <c r="B938">
        <v>248.2881124542327</v>
      </c>
      <c r="E938">
        <f t="shared" si="14"/>
        <v>347.8762015155458</v>
      </c>
    </row>
    <row r="939" spans="1:5" x14ac:dyDescent="0.25">
      <c r="A939" s="1">
        <v>45949</v>
      </c>
      <c r="B939">
        <v>253.06288384758332</v>
      </c>
      <c r="E939">
        <f t="shared" si="14"/>
        <v>345.8298709183955</v>
      </c>
    </row>
    <row r="940" spans="1:5" x14ac:dyDescent="0.25">
      <c r="A940" s="1">
        <v>45950</v>
      </c>
      <c r="B940">
        <v>377.20694007469967</v>
      </c>
      <c r="E940">
        <f t="shared" si="14"/>
        <v>347.1940913164957</v>
      </c>
    </row>
    <row r="941" spans="1:5" x14ac:dyDescent="0.25">
      <c r="A941" s="1">
        <v>45951</v>
      </c>
      <c r="B941">
        <v>381.98171146805032</v>
      </c>
      <c r="E941">
        <f t="shared" si="14"/>
        <v>345.14776071934551</v>
      </c>
    </row>
    <row r="942" spans="1:5" x14ac:dyDescent="0.25">
      <c r="A942" s="1">
        <v>45952</v>
      </c>
      <c r="B942">
        <v>410.63033982815409</v>
      </c>
      <c r="E942">
        <f t="shared" si="14"/>
        <v>345.82987091839561</v>
      </c>
    </row>
    <row r="943" spans="1:5" x14ac:dyDescent="0.25">
      <c r="A943" s="1">
        <v>45953</v>
      </c>
      <c r="B943">
        <v>386.75648286140091</v>
      </c>
      <c r="E943">
        <f t="shared" si="14"/>
        <v>344.46565052029536</v>
      </c>
    </row>
    <row r="944" spans="1:5" x14ac:dyDescent="0.25">
      <c r="A944" s="1">
        <v>45954</v>
      </c>
      <c r="B944">
        <v>396.30602564810221</v>
      </c>
      <c r="E944">
        <f t="shared" si="14"/>
        <v>350.6046423117462</v>
      </c>
    </row>
    <row r="945" spans="1:5" x14ac:dyDescent="0.25">
      <c r="A945" s="1">
        <v>45955</v>
      </c>
      <c r="B945">
        <v>253.06288384758332</v>
      </c>
      <c r="E945">
        <f t="shared" si="14"/>
        <v>351.28675251079625</v>
      </c>
    </row>
    <row r="946" spans="1:5" x14ac:dyDescent="0.25">
      <c r="A946" s="1">
        <v>45956</v>
      </c>
      <c r="B946">
        <v>262.61242663428459</v>
      </c>
      <c r="E946">
        <f t="shared" si="14"/>
        <v>352.65097290889645</v>
      </c>
    </row>
    <row r="947" spans="1:5" x14ac:dyDescent="0.25">
      <c r="A947" s="1">
        <v>45957</v>
      </c>
      <c r="B947">
        <v>391.53125425475156</v>
      </c>
      <c r="E947">
        <f t="shared" si="14"/>
        <v>354.69730350604675</v>
      </c>
    </row>
    <row r="948" spans="1:5" x14ac:dyDescent="0.25">
      <c r="A948" s="1">
        <v>45958</v>
      </c>
      <c r="B948">
        <v>391.53125425475156</v>
      </c>
      <c r="E948">
        <f t="shared" si="14"/>
        <v>356.0615239041469</v>
      </c>
    </row>
    <row r="949" spans="1:5" x14ac:dyDescent="0.25">
      <c r="A949" s="1">
        <v>45959</v>
      </c>
      <c r="B949">
        <v>386.75648286140091</v>
      </c>
      <c r="E949">
        <f t="shared" si="14"/>
        <v>352.65097290889645</v>
      </c>
    </row>
    <row r="950" spans="1:5" x14ac:dyDescent="0.25">
      <c r="A950" s="1">
        <v>45960</v>
      </c>
      <c r="B950">
        <v>377.20694007469967</v>
      </c>
      <c r="E950">
        <f t="shared" si="14"/>
        <v>351.28675251079625</v>
      </c>
    </row>
    <row r="951" spans="1:5" x14ac:dyDescent="0.25">
      <c r="A951" s="1">
        <v>45961</v>
      </c>
      <c r="B951">
        <v>339.00876892789466</v>
      </c>
      <c r="E951">
        <f t="shared" si="14"/>
        <v>343.10143012219521</v>
      </c>
    </row>
    <row r="952" spans="1:5" x14ac:dyDescent="0.25">
      <c r="A952" s="1">
        <v>45962</v>
      </c>
      <c r="B952">
        <v>233.96379827418082</v>
      </c>
      <c r="E952">
        <f t="shared" si="14"/>
        <v>340.37298932599487</v>
      </c>
    </row>
    <row r="953" spans="1:5" x14ac:dyDescent="0.25">
      <c r="A953" s="1">
        <v>45963</v>
      </c>
      <c r="B953">
        <v>257.83765524093394</v>
      </c>
      <c r="E953">
        <f t="shared" si="14"/>
        <v>339.69087912694476</v>
      </c>
    </row>
    <row r="954" spans="1:5" x14ac:dyDescent="0.25">
      <c r="A954" s="1">
        <v>45964</v>
      </c>
      <c r="B954">
        <v>386.75648286140091</v>
      </c>
      <c r="E954">
        <f t="shared" si="14"/>
        <v>339.00876892789466</v>
      </c>
    </row>
    <row r="955" spans="1:5" x14ac:dyDescent="0.25">
      <c r="A955" s="1">
        <v>45965</v>
      </c>
      <c r="B955">
        <v>401.0807970414528</v>
      </c>
      <c r="E955">
        <f t="shared" si="14"/>
        <v>340.37298932599475</v>
      </c>
    </row>
    <row r="956" spans="1:5" x14ac:dyDescent="0.25">
      <c r="A956" s="1">
        <v>45966</v>
      </c>
      <c r="B956">
        <v>367.65739728799844</v>
      </c>
      <c r="E956">
        <f t="shared" si="14"/>
        <v>337.64454852979446</v>
      </c>
    </row>
    <row r="957" spans="1:5" x14ac:dyDescent="0.25">
      <c r="A957" s="1">
        <v>45967</v>
      </c>
      <c r="B957">
        <v>367.65739728799844</v>
      </c>
      <c r="E957">
        <f t="shared" si="14"/>
        <v>336.28032813169426</v>
      </c>
    </row>
    <row r="958" spans="1:5" x14ac:dyDescent="0.25">
      <c r="A958" s="1">
        <v>45968</v>
      </c>
      <c r="B958">
        <v>353.33308310794655</v>
      </c>
      <c r="E958">
        <f t="shared" si="14"/>
        <v>338.32665872884456</v>
      </c>
    </row>
    <row r="959" spans="1:5" x14ac:dyDescent="0.25">
      <c r="A959" s="1">
        <v>45969</v>
      </c>
      <c r="B959">
        <v>243.51334106088208</v>
      </c>
      <c r="E959">
        <f t="shared" si="14"/>
        <v>339.69087912694476</v>
      </c>
    </row>
    <row r="960" spans="1:5" x14ac:dyDescent="0.25">
      <c r="A960" s="1">
        <v>45970</v>
      </c>
      <c r="B960">
        <v>238.73856966753144</v>
      </c>
      <c r="E960">
        <f t="shared" si="14"/>
        <v>336.96243833074442</v>
      </c>
    </row>
    <row r="961" spans="1:5" x14ac:dyDescent="0.25">
      <c r="A961" s="1">
        <v>45971</v>
      </c>
      <c r="B961">
        <v>386.75648286140091</v>
      </c>
      <c r="E961">
        <f t="shared" si="14"/>
        <v>336.96243833074442</v>
      </c>
    </row>
    <row r="962" spans="1:5" x14ac:dyDescent="0.25">
      <c r="A962" s="1">
        <v>45972</v>
      </c>
      <c r="B962">
        <v>396.30602564810221</v>
      </c>
      <c r="E962">
        <f t="shared" si="14"/>
        <v>336.28032813169432</v>
      </c>
    </row>
    <row r="963" spans="1:5" x14ac:dyDescent="0.25">
      <c r="A963" s="1">
        <v>45973</v>
      </c>
      <c r="B963">
        <v>405.85556843480344</v>
      </c>
      <c r="E963">
        <f t="shared" si="14"/>
        <v>341.73720972409501</v>
      </c>
    </row>
    <row r="964" spans="1:5" x14ac:dyDescent="0.25">
      <c r="A964" s="1">
        <v>45974</v>
      </c>
      <c r="B964">
        <v>391.53125425475156</v>
      </c>
      <c r="E964">
        <f t="shared" si="14"/>
        <v>345.14776071934546</v>
      </c>
    </row>
    <row r="965" spans="1:5" x14ac:dyDescent="0.25">
      <c r="A965" s="1">
        <v>45975</v>
      </c>
      <c r="B965">
        <v>348.5583117145959</v>
      </c>
      <c r="E965">
        <f t="shared" si="14"/>
        <v>344.46565052029536</v>
      </c>
    </row>
    <row r="966" spans="1:5" x14ac:dyDescent="0.25">
      <c r="A966" s="1">
        <v>45976</v>
      </c>
      <c r="B966">
        <v>243.51334106088208</v>
      </c>
      <c r="E966">
        <f t="shared" si="14"/>
        <v>344.4656505202953</v>
      </c>
    </row>
    <row r="967" spans="1:5" x14ac:dyDescent="0.25">
      <c r="A967" s="1">
        <v>45977</v>
      </c>
      <c r="B967">
        <v>267.38719802763524</v>
      </c>
      <c r="E967">
        <f t="shared" si="14"/>
        <v>348.55831171459585</v>
      </c>
    </row>
    <row r="968" spans="1:5" x14ac:dyDescent="0.25">
      <c r="A968" s="1">
        <v>45978</v>
      </c>
      <c r="B968">
        <v>367.65739728799844</v>
      </c>
      <c r="E968">
        <f t="shared" si="14"/>
        <v>345.8298709183955</v>
      </c>
    </row>
    <row r="969" spans="1:5" x14ac:dyDescent="0.25">
      <c r="A969" s="1">
        <v>45979</v>
      </c>
      <c r="B969">
        <v>477.47713933506287</v>
      </c>
      <c r="E969">
        <f t="shared" si="14"/>
        <v>357.42574430224704</v>
      </c>
    </row>
    <row r="970" spans="1:5" x14ac:dyDescent="0.25">
      <c r="A970" s="1">
        <v>45980</v>
      </c>
      <c r="B970">
        <v>377.20694007469967</v>
      </c>
      <c r="E970">
        <f t="shared" si="14"/>
        <v>353.33308310794649</v>
      </c>
    </row>
    <row r="971" spans="1:5" x14ac:dyDescent="0.25">
      <c r="A971" s="1">
        <v>45981</v>
      </c>
      <c r="B971">
        <v>353.33308310794655</v>
      </c>
      <c r="E971">
        <f t="shared" si="14"/>
        <v>347.8762015155458</v>
      </c>
    </row>
    <row r="972" spans="1:5" x14ac:dyDescent="0.25">
      <c r="A972" s="1">
        <v>45982</v>
      </c>
      <c r="B972">
        <v>310.36014056779089</v>
      </c>
      <c r="E972">
        <f t="shared" si="14"/>
        <v>342.41931992314511</v>
      </c>
    </row>
    <row r="973" spans="1:5" x14ac:dyDescent="0.25">
      <c r="A973" s="1">
        <v>45983</v>
      </c>
      <c r="B973">
        <v>233.96379827418082</v>
      </c>
      <c r="E973">
        <f t="shared" si="14"/>
        <v>341.05509952504497</v>
      </c>
    </row>
    <row r="974" spans="1:5" x14ac:dyDescent="0.25">
      <c r="A974" s="1">
        <v>45984</v>
      </c>
      <c r="B974">
        <v>243.51334106088208</v>
      </c>
      <c r="E974">
        <f t="shared" si="14"/>
        <v>337.64454852979446</v>
      </c>
    </row>
    <row r="975" spans="1:5" x14ac:dyDescent="0.25">
      <c r="A975" s="1">
        <v>45985</v>
      </c>
      <c r="B975">
        <v>334.23399753454402</v>
      </c>
      <c r="E975">
        <f t="shared" si="14"/>
        <v>332.86977713644382</v>
      </c>
    </row>
    <row r="976" spans="1:5" x14ac:dyDescent="0.25">
      <c r="A976" s="1">
        <v>45986</v>
      </c>
      <c r="B976">
        <v>353.33308310794655</v>
      </c>
      <c r="E976">
        <f t="shared" si="14"/>
        <v>315.13491196114148</v>
      </c>
    </row>
    <row r="977" spans="1:5" x14ac:dyDescent="0.25">
      <c r="A977" s="1">
        <v>45987</v>
      </c>
      <c r="B977">
        <v>353.33308310794655</v>
      </c>
      <c r="E977">
        <f t="shared" si="14"/>
        <v>311.72436096589109</v>
      </c>
    </row>
    <row r="978" spans="1:5" x14ac:dyDescent="0.25">
      <c r="A978" s="1">
        <v>45988</v>
      </c>
      <c r="B978">
        <v>353.33308310794655</v>
      </c>
      <c r="E978">
        <f t="shared" si="14"/>
        <v>311.72436096589109</v>
      </c>
    </row>
    <row r="980" spans="1:5" x14ac:dyDescent="0.25">
      <c r="A980" s="1"/>
    </row>
    <row r="981" spans="1:5" x14ac:dyDescent="0.25">
      <c r="A981" s="1"/>
    </row>
    <row r="982" spans="1:5" x14ac:dyDescent="0.25">
      <c r="A982" s="1"/>
    </row>
    <row r="983" spans="1:5" x14ac:dyDescent="0.25">
      <c r="A983" s="1"/>
    </row>
    <row r="984" spans="1:5" x14ac:dyDescent="0.25">
      <c r="A984" s="1"/>
    </row>
    <row r="985" spans="1:5" x14ac:dyDescent="0.25">
      <c r="A985" s="1"/>
    </row>
    <row r="986" spans="1:5" x14ac:dyDescent="0.25">
      <c r="A986" s="1"/>
    </row>
    <row r="987" spans="1:5" x14ac:dyDescent="0.25">
      <c r="A987" s="1"/>
    </row>
    <row r="988" spans="1:5" x14ac:dyDescent="0.25">
      <c r="A988" s="1"/>
    </row>
    <row r="989" spans="1:5" x14ac:dyDescent="0.25">
      <c r="A989" s="1"/>
    </row>
    <row r="990" spans="1:5" x14ac:dyDescent="0.25">
      <c r="A990" s="1"/>
    </row>
    <row r="991" spans="1:5" x14ac:dyDescent="0.25">
      <c r="A991" s="1"/>
    </row>
    <row r="992" spans="1:5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Adeesh Jain</dc:creator>
  <cp:lastModifiedBy>Adeesh Jain</cp:lastModifiedBy>
  <dcterms:created xsi:type="dcterms:W3CDTF">2025-11-27T11:53:41Z</dcterms:created>
  <dcterms:modified xsi:type="dcterms:W3CDTF">2025-12-10T14:17:59Z</dcterms:modified>
</cp:coreProperties>
</file>